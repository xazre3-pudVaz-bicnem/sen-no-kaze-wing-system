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■七尾、中能登、穴水、輪島、能登町\■■千の風プロジェクト\"/>
    </mc:Choice>
  </mc:AlternateContent>
  <xr:revisionPtr revIDLastSave="0" documentId="13_ncr:1_{507EEDD1-D93A-4C24-A366-C5BB44D9F138}" xr6:coauthVersionLast="47" xr6:coauthVersionMax="47" xr10:uidLastSave="{00000000-0000-0000-0000-000000000000}"/>
  <bookViews>
    <workbookView xWindow="1590" yWindow="0" windowWidth="20250" windowHeight="15945" tabRatio="762" activeTab="4" xr2:uid="{2B6B0DCA-D144-4611-B664-E5D4094ADD3A}"/>
  </bookViews>
  <sheets>
    <sheet name="片ウィング【ホテルUB】" sheetId="1" r:id="rId1"/>
    <sheet name="片ウィング【単身者用】 " sheetId="2" r:id="rId2"/>
    <sheet name="片ウィング【事務所】  " sheetId="3" r:id="rId3"/>
    <sheet name="BOX（ホテル単身者）" sheetId="4" r:id="rId4"/>
    <sheet name="フラット (事務所)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Calendar10Month">[1]カレンダー!$C$127</definedName>
    <definedName name="Calendar10MonthOption" localSheetId="3">#N/A</definedName>
    <definedName name="Calendar10MonthOption" localSheetId="4">#N/A</definedName>
    <definedName name="Calendar10MonthOption" localSheetId="0">#N/A</definedName>
    <definedName name="Calendar10MonthOption" localSheetId="2">#N/A</definedName>
    <definedName name="Calendar10MonthOption" localSheetId="1">#N/A</definedName>
    <definedName name="Calendar10MonthOption">MATCH(Calendar10Month,月,0)</definedName>
    <definedName name="Calendar10Year">[1]カレンダー!$B$127</definedName>
    <definedName name="Calendar11Month">[1]カレンダー!$C$141</definedName>
    <definedName name="Calendar11MonthOption" localSheetId="3">#N/A</definedName>
    <definedName name="Calendar11MonthOption" localSheetId="4">#N/A</definedName>
    <definedName name="Calendar11MonthOption" localSheetId="0">#N/A</definedName>
    <definedName name="Calendar11MonthOption" localSheetId="2">#N/A</definedName>
    <definedName name="Calendar11MonthOption" localSheetId="1">#N/A</definedName>
    <definedName name="Calendar11MonthOption">MATCH(Calendar11Month,月,0)</definedName>
    <definedName name="Calendar11Year">[1]カレンダー!$B$141</definedName>
    <definedName name="Calendar12Month">[1]カレンダー!$C$155</definedName>
    <definedName name="Calendar12MonthOption" localSheetId="3">#N/A</definedName>
    <definedName name="Calendar12MonthOption" localSheetId="4">#N/A</definedName>
    <definedName name="Calendar12MonthOption" localSheetId="0">#N/A</definedName>
    <definedName name="Calendar12MonthOption" localSheetId="2">#N/A</definedName>
    <definedName name="Calendar12MonthOption" localSheetId="1">#N/A</definedName>
    <definedName name="Calendar12MonthOption">MATCH(Calendar12Month,月,0)</definedName>
    <definedName name="Calendar12Year">[1]カレンダー!$B$155</definedName>
    <definedName name="Calendar1Month">[1]カレンダー!$C$1</definedName>
    <definedName name="Calendar1MonthOption" localSheetId="3">#N/A</definedName>
    <definedName name="Calendar1MonthOption" localSheetId="4">#N/A</definedName>
    <definedName name="Calendar1MonthOption" localSheetId="0">#N/A</definedName>
    <definedName name="Calendar1MonthOption" localSheetId="2">#N/A</definedName>
    <definedName name="Calendar1MonthOption" localSheetId="1">#N/A</definedName>
    <definedName name="Calendar1MonthOption">MATCH(Calendar1Month,月,0)</definedName>
    <definedName name="Calendar1Year">[1]カレンダー!$B$1</definedName>
    <definedName name="Calendar2Month">[1]カレンダー!$C$15</definedName>
    <definedName name="Calendar2MonthOption" localSheetId="3">#N/A</definedName>
    <definedName name="Calendar2MonthOption" localSheetId="4">#N/A</definedName>
    <definedName name="Calendar2MonthOption" localSheetId="0">#N/A</definedName>
    <definedName name="Calendar2MonthOption" localSheetId="2">#N/A</definedName>
    <definedName name="Calendar2MonthOption" localSheetId="1">#N/A</definedName>
    <definedName name="Calendar2MonthOption">MATCH(Calendar2Month,月,0)</definedName>
    <definedName name="Calendar2Year">[1]カレンダー!$B$15</definedName>
    <definedName name="Calendar3Month">[1]カレンダー!$C$29</definedName>
    <definedName name="Calendar3MonthOption" localSheetId="3">#N/A</definedName>
    <definedName name="Calendar3MonthOption" localSheetId="4">#N/A</definedName>
    <definedName name="Calendar3MonthOption" localSheetId="0">#N/A</definedName>
    <definedName name="Calendar3MonthOption" localSheetId="2">#N/A</definedName>
    <definedName name="Calendar3MonthOption" localSheetId="1">#N/A</definedName>
    <definedName name="Calendar3MonthOption">MATCH(Calendar3Month,月,0)</definedName>
    <definedName name="Calendar3Year">[1]カレンダー!$B$29</definedName>
    <definedName name="Calendar4Month">[1]カレンダー!$C$43</definedName>
    <definedName name="Calendar4MonthOption" localSheetId="3">#N/A</definedName>
    <definedName name="Calendar4MonthOption" localSheetId="4">#N/A</definedName>
    <definedName name="Calendar4MonthOption" localSheetId="0">#N/A</definedName>
    <definedName name="Calendar4MonthOption" localSheetId="2">#N/A</definedName>
    <definedName name="Calendar4MonthOption" localSheetId="1">#N/A</definedName>
    <definedName name="Calendar4MonthOption">MATCH(Calendar4Month,月,0)</definedName>
    <definedName name="Calendar4Year">[1]カレンダー!$B$43</definedName>
    <definedName name="Calendar5Month">[1]カレンダー!$C$57</definedName>
    <definedName name="Calendar5MonthOption" localSheetId="3">#N/A</definedName>
    <definedName name="Calendar5MonthOption" localSheetId="4">#N/A</definedName>
    <definedName name="Calendar5MonthOption" localSheetId="0">#N/A</definedName>
    <definedName name="Calendar5MonthOption" localSheetId="2">#N/A</definedName>
    <definedName name="Calendar5MonthOption" localSheetId="1">#N/A</definedName>
    <definedName name="Calendar5MonthOption">MATCH(Calendar5Month,月,0)</definedName>
    <definedName name="Calendar5Year">[1]カレンダー!$B$57</definedName>
    <definedName name="Calendar6Month">[1]カレンダー!$C$71</definedName>
    <definedName name="Calendar6MonthOption" localSheetId="3">#N/A</definedName>
    <definedName name="Calendar6MonthOption" localSheetId="4">#N/A</definedName>
    <definedName name="Calendar6MonthOption" localSheetId="0">#N/A</definedName>
    <definedName name="Calendar6MonthOption" localSheetId="2">#N/A</definedName>
    <definedName name="Calendar6MonthOption" localSheetId="1">#N/A</definedName>
    <definedName name="Calendar6MonthOption">MATCH(Calendar6Month,月,0)</definedName>
    <definedName name="Calendar6Year">[1]カレンダー!$B$71</definedName>
    <definedName name="Calendar7Month">[1]カレンダー!$C$85</definedName>
    <definedName name="Calendar7MonthOption" localSheetId="3">#N/A</definedName>
    <definedName name="Calendar7MonthOption" localSheetId="4">#N/A</definedName>
    <definedName name="Calendar7MonthOption" localSheetId="0">#N/A</definedName>
    <definedName name="Calendar7MonthOption" localSheetId="2">#N/A</definedName>
    <definedName name="Calendar7MonthOption" localSheetId="1">#N/A</definedName>
    <definedName name="Calendar7MonthOption">MATCH(Calendar7Month,月,0)</definedName>
    <definedName name="Calendar7Year">[1]カレンダー!$B$85</definedName>
    <definedName name="Calendar8Month">[1]カレンダー!$C$99</definedName>
    <definedName name="Calendar8MonthOption" localSheetId="3">#N/A</definedName>
    <definedName name="Calendar8MonthOption" localSheetId="4">#N/A</definedName>
    <definedName name="Calendar8MonthOption" localSheetId="0">#N/A</definedName>
    <definedName name="Calendar8MonthOption" localSheetId="2">#N/A</definedName>
    <definedName name="Calendar8MonthOption" localSheetId="1">#N/A</definedName>
    <definedName name="Calendar8MonthOption">MATCH(Calendar8Month,月,0)</definedName>
    <definedName name="Calendar8Year">[1]カレンダー!$B$99</definedName>
    <definedName name="Calendar9Month">[1]カレンダー!$C$113</definedName>
    <definedName name="Calendar9MonthOption" localSheetId="3">#N/A</definedName>
    <definedName name="Calendar9MonthOption" localSheetId="4">#N/A</definedName>
    <definedName name="Calendar9MonthOption" localSheetId="0">#N/A</definedName>
    <definedName name="Calendar9MonthOption" localSheetId="2">#N/A</definedName>
    <definedName name="Calendar9MonthOption" localSheetId="1">#N/A</definedName>
    <definedName name="Calendar9MonthOption">MATCH(Calendar9Month,月,0)</definedName>
    <definedName name="Calendar9Year">[1]カレンダー!$B$113</definedName>
    <definedName name="Days" localSheetId="3">{0,1,2,3,4,5,6}</definedName>
    <definedName name="Days" localSheetId="4">{0,1,2,3,4,5,6}</definedName>
    <definedName name="Days" localSheetId="0">{0,1,2,3,4,5,6}</definedName>
    <definedName name="Days" localSheetId="2">{0,1,2,3,4,5,6}</definedName>
    <definedName name="Days" localSheetId="1">{0,1,2,3,4,5,6}</definedName>
    <definedName name="Days">{0,1,2,3,4,5,6}</definedName>
    <definedName name="_xlnm.Print_Area" localSheetId="3">'BOX（ホテル単身者）'!$B$2:$W$86</definedName>
    <definedName name="_xlnm.Print_Area" localSheetId="4">'フラット (事務所)'!$B$2:$W$86</definedName>
    <definedName name="_xlnm.Print_Area" localSheetId="0">片ウィング【ホテルUB】!$B$2:$W$86</definedName>
    <definedName name="_xlnm.Print_Area" localSheetId="2">'片ウィング【事務所】  '!$B$2:$W$85</definedName>
    <definedName name="_xlnm.Print_Area" localSheetId="1">'片ウィング【単身者用】 '!$B$2:$W$86</definedName>
    <definedName name="SelectArea" localSheetId="3">#REF!,#REF!</definedName>
    <definedName name="SelectArea" localSheetId="4">#REF!,#REF!</definedName>
    <definedName name="SelectArea" localSheetId="0">#REF!,#REF!</definedName>
    <definedName name="SelectArea" localSheetId="2">#REF!,#REF!</definedName>
    <definedName name="SelectArea" localSheetId="1">#REF!,#REF!</definedName>
    <definedName name="SelectArea">#REF!,#REF!</definedName>
    <definedName name="SELECTAREA1" localSheetId="3">#REF!,#REF!</definedName>
    <definedName name="SELECTAREA1" localSheetId="4">#REF!,#REF!</definedName>
    <definedName name="SELECTAREA1" localSheetId="0">#REF!,#REF!</definedName>
    <definedName name="SELECTAREA1" localSheetId="2">#REF!,#REF!</definedName>
    <definedName name="SELECTAREA1" localSheetId="1">#REF!,#REF!</definedName>
    <definedName name="SELECTAREA1">#REF!,#REF!</definedName>
    <definedName name="TST" localSheetId="3">#REF!,#REF!</definedName>
    <definedName name="TST" localSheetId="4">#REF!,#REF!</definedName>
    <definedName name="TST" localSheetId="0">#REF!,#REF!</definedName>
    <definedName name="TST" localSheetId="2">#REF!,#REF!</definedName>
    <definedName name="TST" localSheetId="1">#REF!,#REF!</definedName>
    <definedName name="TST">#REF!,#REF!</definedName>
    <definedName name="WeekdayOption" localSheetId="3">#N/A</definedName>
    <definedName name="WeekdayOption" localSheetId="4">#N/A</definedName>
    <definedName name="WeekdayOption" localSheetId="0">#N/A</definedName>
    <definedName name="WeekdayOption" localSheetId="2">#N/A</definedName>
    <definedName name="WeekdayOption" localSheetId="1">#N/A</definedName>
    <definedName name="WeekdayOption">MATCH(WeekStart,曜日,0)+10</definedName>
    <definedName name="WeekStart">[1]カレンダー!$B$2</definedName>
    <definedName name="WeekStartValue" localSheetId="3">#N/A</definedName>
    <definedName name="WeekStartValue" localSheetId="4">#N/A</definedName>
    <definedName name="WeekStartValue" localSheetId="0">#N/A</definedName>
    <definedName name="WeekStartValue" localSheetId="2">#N/A</definedName>
    <definedName name="WeekStartValue" localSheetId="1">#N/A</definedName>
    <definedName name="WeekStartValue">IF(WeekStart="月曜日",2,1)</definedName>
    <definedName name="あ">[3]データ!$A$2:$A$7</definedName>
    <definedName name="い">[4]データ!$A$2:$A$7</definedName>
    <definedName name="むけり">[3]データ!$A$2:$A$7</definedName>
    <definedName name="月" localSheetId="3">{"1月","2月","3月","4月","5月","6月","7月","8月","9月","10月","11月","12月"}</definedName>
    <definedName name="月" localSheetId="4">{"1月","2月","3月","4月","5月","6月","7月","8月","9月","10月","11月","12月"}</definedName>
    <definedName name="月" localSheetId="0">{"1月","2月","3月","4月","5月","6月","7月","8月","9月","10月","11月","12月"}</definedName>
    <definedName name="月" localSheetId="2">{"1月","2月","3月","4月","5月","6月","7月","8月","9月","10月","11月","12月"}</definedName>
    <definedName name="月" localSheetId="1">{"1月","2月","3月","4月","5月","6月","7月","8月","9月","10月","11月","12月"}</definedName>
    <definedName name="月">{"1月","2月","3月","4月","5月","6月","7月","8月","9月","10月","11月","12月"}</definedName>
    <definedName name="建坪" localSheetId="3">#REF!</definedName>
    <definedName name="建坪" localSheetId="4">#REF!</definedName>
    <definedName name="建坪" localSheetId="0">#REF!</definedName>
    <definedName name="建坪" localSheetId="2">#REF!</definedName>
    <definedName name="建坪" localSheetId="1">#REF!</definedName>
    <definedName name="建坪">#REF!</definedName>
    <definedName name="現在">[5]データ!$B$2:$B$6</definedName>
    <definedName name="工務店">[5]データ!$A$2:$A$9</definedName>
    <definedName name="状況">[6]受注リスト!$M$2:$M$4</definedName>
    <definedName name="単位" localSheetId="3">[7]Sheet2!$D$2:$D$9</definedName>
    <definedName name="単位" localSheetId="4">[7]Sheet2!$D$2:$D$9</definedName>
    <definedName name="単位" localSheetId="0">[7]Sheet2!$D$2:$D$9</definedName>
    <definedName name="単位" localSheetId="2">[7]Sheet2!$D$2:$D$9</definedName>
    <definedName name="単位" localSheetId="1">[7]Sheet2!$D$2:$D$9</definedName>
    <definedName name="単位">[7]Sheet2!$D$2:$D$9</definedName>
    <definedName name="竹内2">[5]データ!$A$2:$A$9</definedName>
    <definedName name="竹内３">[6]受注リスト!$M$2:$M$4</definedName>
    <definedName name="名称">[7]Sheet2!$A$2:$A$29</definedName>
    <definedName name="曜日" localSheetId="3">{"月曜日","火曜日","水曜日","木曜日","金曜日","土曜日","日曜日"}</definedName>
    <definedName name="曜日" localSheetId="4">{"月曜日","火曜日","水曜日","木曜日","金曜日","土曜日","日曜日"}</definedName>
    <definedName name="曜日" localSheetId="0">{"月曜日","火曜日","水曜日","木曜日","金曜日","土曜日","日曜日"}</definedName>
    <definedName name="曜日" localSheetId="2">{"月曜日","火曜日","水曜日","木曜日","金曜日","土曜日","日曜日"}</definedName>
    <definedName name="曜日" localSheetId="1">{"月曜日","火曜日","水曜日","木曜日","金曜日","土曜日","日曜日"}</definedName>
    <definedName name="曜日">{"月曜日","火曜日","水曜日","木曜日","金曜日","土曜日","日曜日"}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5" l="1"/>
  <c r="H63" i="4"/>
  <c r="J51" i="5"/>
  <c r="U51" i="5" s="1"/>
  <c r="J60" i="1"/>
  <c r="U60" i="1" s="1"/>
  <c r="J60" i="2"/>
  <c r="U60" i="2" s="1"/>
  <c r="J59" i="2"/>
  <c r="J51" i="1"/>
  <c r="U51" i="1"/>
  <c r="J50" i="1"/>
  <c r="U50" i="1" s="1"/>
  <c r="H50" i="1"/>
  <c r="S50" i="1" s="1"/>
  <c r="H51" i="1"/>
  <c r="H51" i="2"/>
  <c r="K51" i="2" s="1"/>
  <c r="W51" i="2"/>
  <c r="U51" i="2"/>
  <c r="T51" i="2"/>
  <c r="P51" i="2"/>
  <c r="M51" i="2"/>
  <c r="S51" i="2"/>
  <c r="V51" i="2" s="1"/>
  <c r="W51" i="1"/>
  <c r="T51" i="1"/>
  <c r="P51" i="1"/>
  <c r="M51" i="1"/>
  <c r="H40" i="5"/>
  <c r="H39" i="5"/>
  <c r="H38" i="5"/>
  <c r="H36" i="5"/>
  <c r="H35" i="5"/>
  <c r="S35" i="5" s="1"/>
  <c r="H34" i="5"/>
  <c r="K34" i="5" s="1"/>
  <c r="H33" i="5"/>
  <c r="H31" i="5"/>
  <c r="H29" i="5"/>
  <c r="H27" i="5"/>
  <c r="H26" i="5"/>
  <c r="H25" i="5"/>
  <c r="S25" i="5" s="1"/>
  <c r="H24" i="5"/>
  <c r="H23" i="5"/>
  <c r="H22" i="5"/>
  <c r="H21" i="5"/>
  <c r="H18" i="5"/>
  <c r="H17" i="5"/>
  <c r="H16" i="5"/>
  <c r="H50" i="5"/>
  <c r="H49" i="5"/>
  <c r="K49" i="5" s="1"/>
  <c r="H48" i="5"/>
  <c r="W50" i="5"/>
  <c r="U50" i="5"/>
  <c r="T50" i="5"/>
  <c r="P50" i="5"/>
  <c r="N50" i="5"/>
  <c r="M50" i="5"/>
  <c r="H51" i="5"/>
  <c r="S48" i="5"/>
  <c r="H51" i="4"/>
  <c r="H50" i="4"/>
  <c r="S50" i="4" s="1"/>
  <c r="W50" i="4"/>
  <c r="U50" i="4"/>
  <c r="T50" i="4"/>
  <c r="P50" i="4"/>
  <c r="N50" i="4"/>
  <c r="M50" i="4"/>
  <c r="H49" i="4"/>
  <c r="K49" i="4" s="1"/>
  <c r="H48" i="4"/>
  <c r="S48" i="4" s="1"/>
  <c r="H40" i="4"/>
  <c r="H39" i="4"/>
  <c r="S39" i="4" s="1"/>
  <c r="H38" i="4"/>
  <c r="H36" i="4"/>
  <c r="S36" i="4" s="1"/>
  <c r="H33" i="4"/>
  <c r="S33" i="4" s="1"/>
  <c r="H35" i="4"/>
  <c r="H34" i="4"/>
  <c r="H29" i="4"/>
  <c r="S29" i="4" s="1"/>
  <c r="H27" i="4"/>
  <c r="S27" i="4" s="1"/>
  <c r="H26" i="4"/>
  <c r="H24" i="4"/>
  <c r="H25" i="4"/>
  <c r="S24" i="4"/>
  <c r="H23" i="4"/>
  <c r="J35" i="5"/>
  <c r="J34" i="5"/>
  <c r="U34" i="5" s="1"/>
  <c r="J33" i="5"/>
  <c r="U33" i="5" s="1"/>
  <c r="J35" i="4"/>
  <c r="K35" i="4" s="1"/>
  <c r="J34" i="4"/>
  <c r="J33" i="4"/>
  <c r="U33" i="4" s="1"/>
  <c r="J35" i="3"/>
  <c r="H35" i="3"/>
  <c r="J34" i="3"/>
  <c r="H34" i="3"/>
  <c r="J33" i="3"/>
  <c r="U33" i="3" s="1"/>
  <c r="H33" i="3"/>
  <c r="J35" i="2"/>
  <c r="J34" i="2"/>
  <c r="J33" i="2"/>
  <c r="H34" i="2"/>
  <c r="H33" i="2"/>
  <c r="S33" i="2" s="1"/>
  <c r="N17" i="5"/>
  <c r="N17" i="4"/>
  <c r="U256" i="5"/>
  <c r="U255" i="5"/>
  <c r="U254" i="5"/>
  <c r="U253" i="5"/>
  <c r="U252" i="5"/>
  <c r="U251" i="5"/>
  <c r="U250" i="5"/>
  <c r="U249" i="5"/>
  <c r="U248" i="5"/>
  <c r="U247" i="5"/>
  <c r="M246" i="5"/>
  <c r="U245" i="5"/>
  <c r="U244" i="5"/>
  <c r="U243" i="5"/>
  <c r="U242" i="5"/>
  <c r="U241" i="5"/>
  <c r="U240" i="5"/>
  <c r="U239" i="5"/>
  <c r="U238" i="5"/>
  <c r="U237" i="5"/>
  <c r="U236" i="5"/>
  <c r="M235" i="5"/>
  <c r="U234" i="5"/>
  <c r="U233" i="5"/>
  <c r="U232" i="5"/>
  <c r="U231" i="5"/>
  <c r="U230" i="5"/>
  <c r="U229" i="5"/>
  <c r="U228" i="5"/>
  <c r="U227" i="5"/>
  <c r="U226" i="5"/>
  <c r="U225" i="5"/>
  <c r="M224" i="5"/>
  <c r="U223" i="5"/>
  <c r="U222" i="5"/>
  <c r="U221" i="5"/>
  <c r="U220" i="5"/>
  <c r="U219" i="5"/>
  <c r="U218" i="5"/>
  <c r="U217" i="5"/>
  <c r="U216" i="5"/>
  <c r="U215" i="5"/>
  <c r="U214" i="5"/>
  <c r="M213" i="5"/>
  <c r="U212" i="5"/>
  <c r="U211" i="5"/>
  <c r="U210" i="5"/>
  <c r="U209" i="5"/>
  <c r="U208" i="5"/>
  <c r="U207" i="5"/>
  <c r="U206" i="5"/>
  <c r="U205" i="5"/>
  <c r="U204" i="5"/>
  <c r="U203" i="5"/>
  <c r="M202" i="5"/>
  <c r="U201" i="5"/>
  <c r="U200" i="5"/>
  <c r="U199" i="5"/>
  <c r="U198" i="5"/>
  <c r="U197" i="5"/>
  <c r="U196" i="5"/>
  <c r="U195" i="5"/>
  <c r="U194" i="5"/>
  <c r="U193" i="5"/>
  <c r="U192" i="5"/>
  <c r="M191" i="5"/>
  <c r="U190" i="5"/>
  <c r="U189" i="5"/>
  <c r="U188" i="5"/>
  <c r="U187" i="5"/>
  <c r="U186" i="5"/>
  <c r="U185" i="5"/>
  <c r="U184" i="5"/>
  <c r="U183" i="5"/>
  <c r="U182" i="5"/>
  <c r="U181" i="5"/>
  <c r="M180" i="5"/>
  <c r="U179" i="5"/>
  <c r="U178" i="5"/>
  <c r="U177" i="5"/>
  <c r="U176" i="5"/>
  <c r="U175" i="5"/>
  <c r="U174" i="5"/>
  <c r="U173" i="5"/>
  <c r="U172" i="5"/>
  <c r="U171" i="5"/>
  <c r="U170" i="5"/>
  <c r="M169" i="5"/>
  <c r="U168" i="5"/>
  <c r="U167" i="5"/>
  <c r="U166" i="5"/>
  <c r="U165" i="5"/>
  <c r="U164" i="5"/>
  <c r="U163" i="5"/>
  <c r="U162" i="5"/>
  <c r="U161" i="5"/>
  <c r="U160" i="5"/>
  <c r="U159" i="5"/>
  <c r="M158" i="5"/>
  <c r="U157" i="5"/>
  <c r="U156" i="5"/>
  <c r="U155" i="5"/>
  <c r="U154" i="5"/>
  <c r="U153" i="5"/>
  <c r="U152" i="5"/>
  <c r="U151" i="5"/>
  <c r="U150" i="5"/>
  <c r="U149" i="5"/>
  <c r="U148" i="5"/>
  <c r="M147" i="5"/>
  <c r="U146" i="5"/>
  <c r="U145" i="5"/>
  <c r="U144" i="5"/>
  <c r="U143" i="5"/>
  <c r="U142" i="5"/>
  <c r="U141" i="5"/>
  <c r="U140" i="5"/>
  <c r="U139" i="5"/>
  <c r="U138" i="5"/>
  <c r="U137" i="5"/>
  <c r="M136" i="5"/>
  <c r="U135" i="5"/>
  <c r="U134" i="5"/>
  <c r="U133" i="5"/>
  <c r="U132" i="5"/>
  <c r="U131" i="5"/>
  <c r="U130" i="5"/>
  <c r="U129" i="5"/>
  <c r="U128" i="5"/>
  <c r="U127" i="5"/>
  <c r="U126" i="5"/>
  <c r="M125" i="5"/>
  <c r="W76" i="5"/>
  <c r="U76" i="5"/>
  <c r="T76" i="5"/>
  <c r="S76" i="5"/>
  <c r="P76" i="5"/>
  <c r="M76" i="5"/>
  <c r="W75" i="5"/>
  <c r="T75" i="5"/>
  <c r="S75" i="5"/>
  <c r="V75" i="5" s="1"/>
  <c r="N75" i="5"/>
  <c r="M75" i="5"/>
  <c r="J75" i="5"/>
  <c r="W74" i="5"/>
  <c r="U74" i="5"/>
  <c r="T74" i="5"/>
  <c r="N74" i="5"/>
  <c r="M74" i="5"/>
  <c r="J74" i="5"/>
  <c r="H74" i="5"/>
  <c r="S74" i="5" s="1"/>
  <c r="W73" i="5"/>
  <c r="T73" i="5"/>
  <c r="P73" i="5"/>
  <c r="N73" i="5"/>
  <c r="M73" i="5"/>
  <c r="J73" i="5"/>
  <c r="U73" i="5" s="1"/>
  <c r="H73" i="5"/>
  <c r="S73" i="5" s="1"/>
  <c r="W72" i="5"/>
  <c r="U72" i="5"/>
  <c r="T72" i="5"/>
  <c r="P72" i="5"/>
  <c r="N72" i="5"/>
  <c r="M72" i="5"/>
  <c r="J72" i="5"/>
  <c r="H72" i="5"/>
  <c r="K72" i="5" s="1"/>
  <c r="W71" i="5"/>
  <c r="U71" i="5"/>
  <c r="T71" i="5"/>
  <c r="P71" i="5"/>
  <c r="N71" i="5"/>
  <c r="M71" i="5"/>
  <c r="J71" i="5"/>
  <c r="H71" i="5"/>
  <c r="S71" i="5" s="1"/>
  <c r="W70" i="5"/>
  <c r="T70" i="5"/>
  <c r="S70" i="5"/>
  <c r="N70" i="5"/>
  <c r="M70" i="5"/>
  <c r="J70" i="5"/>
  <c r="U70" i="5" s="1"/>
  <c r="W69" i="5"/>
  <c r="T69" i="5"/>
  <c r="S69" i="5"/>
  <c r="N69" i="5"/>
  <c r="M69" i="5"/>
  <c r="J69" i="5"/>
  <c r="K69" i="5" s="1"/>
  <c r="W68" i="5"/>
  <c r="U68" i="5"/>
  <c r="T68" i="5"/>
  <c r="S68" i="5"/>
  <c r="N68" i="5"/>
  <c r="M68" i="5"/>
  <c r="K68" i="5"/>
  <c r="W67" i="5"/>
  <c r="U67" i="5"/>
  <c r="T67" i="5"/>
  <c r="S67" i="5"/>
  <c r="N67" i="5"/>
  <c r="M67" i="5"/>
  <c r="K67" i="5"/>
  <c r="W66" i="5"/>
  <c r="U66" i="5"/>
  <c r="T66" i="5"/>
  <c r="S66" i="5"/>
  <c r="P66" i="5"/>
  <c r="M66" i="5"/>
  <c r="W65" i="5"/>
  <c r="T65" i="5"/>
  <c r="S65" i="5"/>
  <c r="M65" i="5"/>
  <c r="W64" i="5"/>
  <c r="T64" i="5"/>
  <c r="S64" i="5"/>
  <c r="N64" i="5"/>
  <c r="M64" i="5"/>
  <c r="J64" i="5"/>
  <c r="U64" i="5" s="1"/>
  <c r="U63" i="5"/>
  <c r="T63" i="5"/>
  <c r="P63" i="5"/>
  <c r="N63" i="5"/>
  <c r="M63" i="5"/>
  <c r="J63" i="5"/>
  <c r="H63" i="5"/>
  <c r="T62" i="5"/>
  <c r="S62" i="5"/>
  <c r="P62" i="5"/>
  <c r="N62" i="5"/>
  <c r="M62" i="5"/>
  <c r="J62" i="5"/>
  <c r="K62" i="5" s="1"/>
  <c r="W61" i="5"/>
  <c r="U61" i="5"/>
  <c r="T61" i="5"/>
  <c r="S61" i="5"/>
  <c r="P61" i="5"/>
  <c r="N61" i="5"/>
  <c r="M61" i="5"/>
  <c r="K61" i="5"/>
  <c r="W60" i="5"/>
  <c r="U60" i="5"/>
  <c r="T60" i="5"/>
  <c r="S60" i="5"/>
  <c r="P60" i="5"/>
  <c r="N60" i="5"/>
  <c r="M60" i="5"/>
  <c r="K60" i="5"/>
  <c r="W59" i="5"/>
  <c r="T59" i="5"/>
  <c r="S59" i="5"/>
  <c r="P59" i="5"/>
  <c r="N59" i="5"/>
  <c r="M59" i="5"/>
  <c r="J59" i="5"/>
  <c r="K59" i="5" s="1"/>
  <c r="W58" i="5"/>
  <c r="T58" i="5"/>
  <c r="S58" i="5"/>
  <c r="P58" i="5"/>
  <c r="N58" i="5"/>
  <c r="M58" i="5"/>
  <c r="J58" i="5"/>
  <c r="U58" i="5" s="1"/>
  <c r="W57" i="5"/>
  <c r="T57" i="5"/>
  <c r="S57" i="5"/>
  <c r="P57" i="5"/>
  <c r="N57" i="5"/>
  <c r="M57" i="5"/>
  <c r="J57" i="5"/>
  <c r="K57" i="5" s="1"/>
  <c r="W56" i="5"/>
  <c r="T56" i="5"/>
  <c r="S56" i="5"/>
  <c r="P56" i="5"/>
  <c r="N56" i="5"/>
  <c r="M56" i="5"/>
  <c r="J56" i="5"/>
  <c r="K56" i="5" s="1"/>
  <c r="W55" i="5"/>
  <c r="T55" i="5"/>
  <c r="S55" i="5"/>
  <c r="P55" i="5"/>
  <c r="N55" i="5"/>
  <c r="M55" i="5"/>
  <c r="J55" i="5"/>
  <c r="K55" i="5" s="1"/>
  <c r="W54" i="5"/>
  <c r="U54" i="5"/>
  <c r="T54" i="5"/>
  <c r="S54" i="5"/>
  <c r="P54" i="5"/>
  <c r="N54" i="5"/>
  <c r="M54" i="5"/>
  <c r="K54" i="5"/>
  <c r="W53" i="5"/>
  <c r="U53" i="5"/>
  <c r="V53" i="5" s="1"/>
  <c r="T53" i="5"/>
  <c r="S53" i="5"/>
  <c r="P53" i="5"/>
  <c r="N53" i="5"/>
  <c r="M53" i="5"/>
  <c r="K53" i="5"/>
  <c r="W52" i="5"/>
  <c r="U52" i="5"/>
  <c r="T52" i="5"/>
  <c r="P52" i="5"/>
  <c r="N52" i="5"/>
  <c r="M52" i="5"/>
  <c r="W51" i="5"/>
  <c r="T51" i="5"/>
  <c r="P51" i="5"/>
  <c r="N51" i="5"/>
  <c r="M51" i="5"/>
  <c r="W49" i="5"/>
  <c r="U49" i="5"/>
  <c r="T49" i="5"/>
  <c r="S49" i="5"/>
  <c r="P49" i="5"/>
  <c r="N49" i="5"/>
  <c r="M49" i="5"/>
  <c r="W48" i="5"/>
  <c r="U48" i="5"/>
  <c r="T48" i="5"/>
  <c r="P48" i="5"/>
  <c r="N48" i="5"/>
  <c r="M48" i="5"/>
  <c r="W47" i="5"/>
  <c r="U47" i="5"/>
  <c r="T47" i="5"/>
  <c r="S47" i="5"/>
  <c r="P47" i="5"/>
  <c r="M47" i="5"/>
  <c r="W46" i="5"/>
  <c r="T46" i="5"/>
  <c r="S46" i="5"/>
  <c r="M46" i="5"/>
  <c r="T45" i="5"/>
  <c r="S45" i="5"/>
  <c r="P45" i="5"/>
  <c r="N45" i="5"/>
  <c r="M45" i="5"/>
  <c r="J45" i="5"/>
  <c r="K45" i="5" s="1"/>
  <c r="W44" i="5"/>
  <c r="T44" i="5"/>
  <c r="S44" i="5"/>
  <c r="P44" i="5"/>
  <c r="N44" i="5"/>
  <c r="M44" i="5"/>
  <c r="J44" i="5"/>
  <c r="U44" i="5" s="1"/>
  <c r="W43" i="5"/>
  <c r="U43" i="5"/>
  <c r="T43" i="5"/>
  <c r="S43" i="5"/>
  <c r="P43" i="5"/>
  <c r="N43" i="5"/>
  <c r="M43" i="5"/>
  <c r="K43" i="5"/>
  <c r="T42" i="5"/>
  <c r="S42" i="5"/>
  <c r="P42" i="5"/>
  <c r="N42" i="5"/>
  <c r="M42" i="5"/>
  <c r="J42" i="5"/>
  <c r="U42" i="5" s="1"/>
  <c r="W41" i="5"/>
  <c r="U41" i="5"/>
  <c r="T41" i="5"/>
  <c r="P41" i="5"/>
  <c r="N41" i="5"/>
  <c r="M41" i="5"/>
  <c r="J41" i="5"/>
  <c r="S41" i="5"/>
  <c r="W40" i="5"/>
  <c r="U40" i="5"/>
  <c r="T40" i="5"/>
  <c r="P40" i="5"/>
  <c r="N40" i="5"/>
  <c r="M40" i="5"/>
  <c r="J40" i="5"/>
  <c r="K40" i="5"/>
  <c r="W39" i="5"/>
  <c r="T39" i="5"/>
  <c r="P39" i="5"/>
  <c r="N39" i="5"/>
  <c r="M39" i="5"/>
  <c r="J39" i="5"/>
  <c r="S39" i="5"/>
  <c r="W38" i="5"/>
  <c r="T38" i="5"/>
  <c r="P38" i="5"/>
  <c r="N38" i="5"/>
  <c r="M38" i="5"/>
  <c r="J38" i="5"/>
  <c r="U38" i="5" s="1"/>
  <c r="S38" i="5"/>
  <c r="W37" i="5"/>
  <c r="T37" i="5"/>
  <c r="S37" i="5"/>
  <c r="P37" i="5"/>
  <c r="N37" i="5"/>
  <c r="M37" i="5"/>
  <c r="J37" i="5"/>
  <c r="K37" i="5" s="1"/>
  <c r="W36" i="5"/>
  <c r="T36" i="5"/>
  <c r="P36" i="5"/>
  <c r="N36" i="5"/>
  <c r="M36" i="5"/>
  <c r="J36" i="5"/>
  <c r="S36" i="5"/>
  <c r="T35" i="5"/>
  <c r="P35" i="5"/>
  <c r="N35" i="5"/>
  <c r="M35" i="5"/>
  <c r="U35" i="5"/>
  <c r="W34" i="5"/>
  <c r="T34" i="5"/>
  <c r="P34" i="5"/>
  <c r="N34" i="5"/>
  <c r="M34" i="5"/>
  <c r="W33" i="5"/>
  <c r="T33" i="5"/>
  <c r="P33" i="5"/>
  <c r="N33" i="5"/>
  <c r="M33" i="5"/>
  <c r="S33" i="5"/>
  <c r="U32" i="5"/>
  <c r="T32" i="5"/>
  <c r="S32" i="5"/>
  <c r="P32" i="5"/>
  <c r="N32" i="5"/>
  <c r="M32" i="5"/>
  <c r="K32" i="5"/>
  <c r="W31" i="5"/>
  <c r="T31" i="5"/>
  <c r="P31" i="5"/>
  <c r="N31" i="5"/>
  <c r="M31" i="5"/>
  <c r="J31" i="5"/>
  <c r="U31" i="5" s="1"/>
  <c r="W30" i="5"/>
  <c r="T30" i="5"/>
  <c r="P30" i="5"/>
  <c r="N30" i="5"/>
  <c r="M30" i="5"/>
  <c r="J30" i="5"/>
  <c r="U30" i="5" s="1"/>
  <c r="S30" i="5"/>
  <c r="W29" i="5"/>
  <c r="T29" i="5"/>
  <c r="P29" i="5"/>
  <c r="N29" i="5"/>
  <c r="M29" i="5"/>
  <c r="K29" i="5"/>
  <c r="J29" i="5"/>
  <c r="U29" i="5" s="1"/>
  <c r="S29" i="5"/>
  <c r="U28" i="5"/>
  <c r="T28" i="5"/>
  <c r="S28" i="5"/>
  <c r="P28" i="5"/>
  <c r="N28" i="5"/>
  <c r="M28" i="5"/>
  <c r="K28" i="5"/>
  <c r="W27" i="5"/>
  <c r="T27" i="5"/>
  <c r="P27" i="5"/>
  <c r="N27" i="5"/>
  <c r="M27" i="5"/>
  <c r="J27" i="5"/>
  <c r="U27" i="5" s="1"/>
  <c r="S27" i="5"/>
  <c r="W26" i="5"/>
  <c r="T26" i="5"/>
  <c r="P26" i="5"/>
  <c r="N26" i="5"/>
  <c r="M26" i="5"/>
  <c r="J26" i="5"/>
  <c r="S26" i="5"/>
  <c r="W25" i="5"/>
  <c r="T25" i="5"/>
  <c r="P25" i="5"/>
  <c r="N25" i="5"/>
  <c r="M25" i="5"/>
  <c r="J25" i="5"/>
  <c r="W24" i="5"/>
  <c r="T24" i="5"/>
  <c r="P24" i="5"/>
  <c r="N24" i="5"/>
  <c r="M24" i="5"/>
  <c r="J24" i="5"/>
  <c r="U24" i="5" s="1"/>
  <c r="S24" i="5"/>
  <c r="W23" i="5"/>
  <c r="T23" i="5"/>
  <c r="P23" i="5"/>
  <c r="N23" i="5"/>
  <c r="M23" i="5"/>
  <c r="J23" i="5"/>
  <c r="U23" i="5" s="1"/>
  <c r="W22" i="5"/>
  <c r="T22" i="5"/>
  <c r="P22" i="5"/>
  <c r="N22" i="5"/>
  <c r="M22" i="5"/>
  <c r="J22" i="5"/>
  <c r="U22" i="5" s="1"/>
  <c r="S22" i="5"/>
  <c r="T21" i="5"/>
  <c r="P21" i="5"/>
  <c r="N21" i="5"/>
  <c r="M21" i="5"/>
  <c r="J21" i="5"/>
  <c r="U21" i="5" s="1"/>
  <c r="S21" i="5"/>
  <c r="W20" i="5"/>
  <c r="T20" i="5"/>
  <c r="P20" i="5"/>
  <c r="N20" i="5"/>
  <c r="M20" i="5"/>
  <c r="J20" i="5"/>
  <c r="S20" i="5"/>
  <c r="W19" i="5"/>
  <c r="T19" i="5"/>
  <c r="P19" i="5"/>
  <c r="N19" i="5"/>
  <c r="M19" i="5"/>
  <c r="J19" i="5"/>
  <c r="U19" i="5" s="1"/>
  <c r="S19" i="5"/>
  <c r="W18" i="5"/>
  <c r="T18" i="5"/>
  <c r="P18" i="5"/>
  <c r="N18" i="5"/>
  <c r="M18" i="5"/>
  <c r="J18" i="5"/>
  <c r="U18" i="5" s="1"/>
  <c r="W17" i="5"/>
  <c r="T17" i="5"/>
  <c r="P17" i="5"/>
  <c r="M17" i="5"/>
  <c r="J17" i="5"/>
  <c r="U17" i="5" s="1"/>
  <c r="S17" i="5"/>
  <c r="W16" i="5"/>
  <c r="T16" i="5"/>
  <c r="P16" i="5"/>
  <c r="N16" i="5"/>
  <c r="M16" i="5"/>
  <c r="J16" i="5"/>
  <c r="U16" i="5" s="1"/>
  <c r="S16" i="5"/>
  <c r="W15" i="5"/>
  <c r="T15" i="5"/>
  <c r="S15" i="5"/>
  <c r="P15" i="5"/>
  <c r="N15" i="5"/>
  <c r="M15" i="5"/>
  <c r="J15" i="5"/>
  <c r="K15" i="5" s="1"/>
  <c r="S12" i="5"/>
  <c r="S11" i="5"/>
  <c r="U6" i="5"/>
  <c r="T6" i="5"/>
  <c r="N6" i="5"/>
  <c r="V5" i="5"/>
  <c r="W4" i="5"/>
  <c r="W5" i="5" s="1"/>
  <c r="W3" i="5"/>
  <c r="V3" i="5"/>
  <c r="U256" i="4"/>
  <c r="U255" i="4"/>
  <c r="U254" i="4"/>
  <c r="U253" i="4"/>
  <c r="U252" i="4"/>
  <c r="U251" i="4"/>
  <c r="U250" i="4"/>
  <c r="U249" i="4"/>
  <c r="U248" i="4"/>
  <c r="U247" i="4"/>
  <c r="M246" i="4"/>
  <c r="U245" i="4"/>
  <c r="U244" i="4"/>
  <c r="U243" i="4"/>
  <c r="U242" i="4"/>
  <c r="U241" i="4"/>
  <c r="U240" i="4"/>
  <c r="U239" i="4"/>
  <c r="U238" i="4"/>
  <c r="U237" i="4"/>
  <c r="U236" i="4"/>
  <c r="M235" i="4"/>
  <c r="U234" i="4"/>
  <c r="U233" i="4"/>
  <c r="U232" i="4"/>
  <c r="U231" i="4"/>
  <c r="U230" i="4"/>
  <c r="U229" i="4"/>
  <c r="U228" i="4"/>
  <c r="U227" i="4"/>
  <c r="U226" i="4"/>
  <c r="U225" i="4"/>
  <c r="M224" i="4"/>
  <c r="U223" i="4"/>
  <c r="U222" i="4"/>
  <c r="U221" i="4"/>
  <c r="U220" i="4"/>
  <c r="U219" i="4"/>
  <c r="U218" i="4"/>
  <c r="U217" i="4"/>
  <c r="U216" i="4"/>
  <c r="U215" i="4"/>
  <c r="U214" i="4"/>
  <c r="M213" i="4"/>
  <c r="U212" i="4"/>
  <c r="U211" i="4"/>
  <c r="U210" i="4"/>
  <c r="U209" i="4"/>
  <c r="U208" i="4"/>
  <c r="U207" i="4"/>
  <c r="U206" i="4"/>
  <c r="U205" i="4"/>
  <c r="U204" i="4"/>
  <c r="U203" i="4"/>
  <c r="M202" i="4"/>
  <c r="U201" i="4"/>
  <c r="U200" i="4"/>
  <c r="U199" i="4"/>
  <c r="U198" i="4"/>
  <c r="U197" i="4"/>
  <c r="U196" i="4"/>
  <c r="U195" i="4"/>
  <c r="U194" i="4"/>
  <c r="U193" i="4"/>
  <c r="U192" i="4"/>
  <c r="M191" i="4"/>
  <c r="U190" i="4"/>
  <c r="U189" i="4"/>
  <c r="U188" i="4"/>
  <c r="U187" i="4"/>
  <c r="U186" i="4"/>
  <c r="U185" i="4"/>
  <c r="U184" i="4"/>
  <c r="U183" i="4"/>
  <c r="U182" i="4"/>
  <c r="U181" i="4"/>
  <c r="M180" i="4"/>
  <c r="U179" i="4"/>
  <c r="U178" i="4"/>
  <c r="U177" i="4"/>
  <c r="U176" i="4"/>
  <c r="U175" i="4"/>
  <c r="U174" i="4"/>
  <c r="U173" i="4"/>
  <c r="U172" i="4"/>
  <c r="U171" i="4"/>
  <c r="U170" i="4"/>
  <c r="M169" i="4"/>
  <c r="U168" i="4"/>
  <c r="U167" i="4"/>
  <c r="U166" i="4"/>
  <c r="U165" i="4"/>
  <c r="U164" i="4"/>
  <c r="U163" i="4"/>
  <c r="U162" i="4"/>
  <c r="U161" i="4"/>
  <c r="U160" i="4"/>
  <c r="U159" i="4"/>
  <c r="M158" i="4"/>
  <c r="U157" i="4"/>
  <c r="U156" i="4"/>
  <c r="U155" i="4"/>
  <c r="U154" i="4"/>
  <c r="U153" i="4"/>
  <c r="U152" i="4"/>
  <c r="U151" i="4"/>
  <c r="U150" i="4"/>
  <c r="U149" i="4"/>
  <c r="U148" i="4"/>
  <c r="M147" i="4"/>
  <c r="U146" i="4"/>
  <c r="U145" i="4"/>
  <c r="U144" i="4"/>
  <c r="U143" i="4"/>
  <c r="U142" i="4"/>
  <c r="U141" i="4"/>
  <c r="U140" i="4"/>
  <c r="U139" i="4"/>
  <c r="U138" i="4"/>
  <c r="U137" i="4"/>
  <c r="M136" i="4"/>
  <c r="U135" i="4"/>
  <c r="U134" i="4"/>
  <c r="U133" i="4"/>
  <c r="U132" i="4"/>
  <c r="U131" i="4"/>
  <c r="U130" i="4"/>
  <c r="U129" i="4"/>
  <c r="U128" i="4"/>
  <c r="U127" i="4"/>
  <c r="U126" i="4"/>
  <c r="M125" i="4"/>
  <c r="W76" i="4"/>
  <c r="U76" i="4"/>
  <c r="T76" i="4"/>
  <c r="S76" i="4"/>
  <c r="P76" i="4"/>
  <c r="M76" i="4"/>
  <c r="W75" i="4"/>
  <c r="T75" i="4"/>
  <c r="S75" i="4"/>
  <c r="V75" i="4" s="1"/>
  <c r="N75" i="4"/>
  <c r="M75" i="4"/>
  <c r="J75" i="4"/>
  <c r="W74" i="4"/>
  <c r="T74" i="4"/>
  <c r="N74" i="4"/>
  <c r="M74" i="4"/>
  <c r="J74" i="4"/>
  <c r="U74" i="4" s="1"/>
  <c r="H74" i="4"/>
  <c r="S74" i="4" s="1"/>
  <c r="W73" i="4"/>
  <c r="T73" i="4"/>
  <c r="P73" i="4"/>
  <c r="N73" i="4"/>
  <c r="M73" i="4"/>
  <c r="J73" i="4"/>
  <c r="U73" i="4" s="1"/>
  <c r="H73" i="4"/>
  <c r="S73" i="4" s="1"/>
  <c r="W72" i="4"/>
  <c r="T72" i="4"/>
  <c r="P72" i="4"/>
  <c r="N72" i="4"/>
  <c r="M72" i="4"/>
  <c r="J72" i="4"/>
  <c r="U72" i="4" s="1"/>
  <c r="H72" i="4"/>
  <c r="W71" i="4"/>
  <c r="T71" i="4"/>
  <c r="P71" i="4"/>
  <c r="N71" i="4"/>
  <c r="M71" i="4"/>
  <c r="J71" i="4"/>
  <c r="U71" i="4" s="1"/>
  <c r="H71" i="4"/>
  <c r="S71" i="4" s="1"/>
  <c r="W70" i="4"/>
  <c r="T70" i="4"/>
  <c r="S70" i="4"/>
  <c r="N70" i="4"/>
  <c r="M70" i="4"/>
  <c r="J70" i="4"/>
  <c r="K70" i="4" s="1"/>
  <c r="W69" i="4"/>
  <c r="T69" i="4"/>
  <c r="S69" i="4"/>
  <c r="N69" i="4"/>
  <c r="M69" i="4"/>
  <c r="K69" i="4"/>
  <c r="J69" i="4"/>
  <c r="U69" i="4" s="1"/>
  <c r="V69" i="4" s="1"/>
  <c r="W68" i="4"/>
  <c r="U68" i="4"/>
  <c r="T68" i="4"/>
  <c r="S68" i="4"/>
  <c r="N68" i="4"/>
  <c r="M68" i="4"/>
  <c r="K68" i="4"/>
  <c r="W67" i="4"/>
  <c r="U67" i="4"/>
  <c r="T67" i="4"/>
  <c r="S67" i="4"/>
  <c r="N67" i="4"/>
  <c r="M67" i="4"/>
  <c r="K67" i="4"/>
  <c r="W66" i="4"/>
  <c r="U66" i="4"/>
  <c r="T66" i="4"/>
  <c r="S66" i="4"/>
  <c r="P66" i="4"/>
  <c r="M66" i="4"/>
  <c r="W65" i="4"/>
  <c r="T65" i="4"/>
  <c r="S65" i="4"/>
  <c r="M65" i="4"/>
  <c r="W64" i="4"/>
  <c r="T64" i="4"/>
  <c r="S64" i="4"/>
  <c r="N64" i="4"/>
  <c r="M64" i="4"/>
  <c r="J64" i="4"/>
  <c r="K64" i="4" s="1"/>
  <c r="U63" i="4"/>
  <c r="T63" i="4"/>
  <c r="P63" i="4"/>
  <c r="N63" i="4"/>
  <c r="M63" i="4"/>
  <c r="J63" i="4"/>
  <c r="T62" i="4"/>
  <c r="S62" i="4"/>
  <c r="P62" i="4"/>
  <c r="N62" i="4"/>
  <c r="M62" i="4"/>
  <c r="J62" i="4"/>
  <c r="K62" i="4" s="1"/>
  <c r="W61" i="4"/>
  <c r="U61" i="4"/>
  <c r="T61" i="4"/>
  <c r="S61" i="4"/>
  <c r="V61" i="4" s="1"/>
  <c r="P61" i="4"/>
  <c r="N61" i="4"/>
  <c r="M61" i="4"/>
  <c r="K61" i="4"/>
  <c r="W60" i="4"/>
  <c r="U60" i="4"/>
  <c r="T60" i="4"/>
  <c r="S60" i="4"/>
  <c r="V60" i="4" s="1"/>
  <c r="P60" i="4"/>
  <c r="N60" i="4"/>
  <c r="M60" i="4"/>
  <c r="K60" i="4"/>
  <c r="W59" i="4"/>
  <c r="T59" i="4"/>
  <c r="S59" i="4"/>
  <c r="P59" i="4"/>
  <c r="N59" i="4"/>
  <c r="M59" i="4"/>
  <c r="J59" i="4"/>
  <c r="K59" i="4" s="1"/>
  <c r="W58" i="4"/>
  <c r="T58" i="4"/>
  <c r="S58" i="4"/>
  <c r="P58" i="4"/>
  <c r="N58" i="4"/>
  <c r="M58" i="4"/>
  <c r="J58" i="4"/>
  <c r="K58" i="4" s="1"/>
  <c r="W57" i="4"/>
  <c r="T57" i="4"/>
  <c r="S57" i="4"/>
  <c r="P57" i="4"/>
  <c r="N57" i="4"/>
  <c r="M57" i="4"/>
  <c r="J57" i="4"/>
  <c r="K57" i="4" s="1"/>
  <c r="W56" i="4"/>
  <c r="T56" i="4"/>
  <c r="S56" i="4"/>
  <c r="P56" i="4"/>
  <c r="N56" i="4"/>
  <c r="M56" i="4"/>
  <c r="J56" i="4"/>
  <c r="U56" i="4" s="1"/>
  <c r="W55" i="4"/>
  <c r="T55" i="4"/>
  <c r="S55" i="4"/>
  <c r="P55" i="4"/>
  <c r="N55" i="4"/>
  <c r="M55" i="4"/>
  <c r="J55" i="4"/>
  <c r="K55" i="4" s="1"/>
  <c r="W54" i="4"/>
  <c r="U54" i="4"/>
  <c r="T54" i="4"/>
  <c r="S54" i="4"/>
  <c r="P54" i="4"/>
  <c r="N54" i="4"/>
  <c r="M54" i="4"/>
  <c r="K54" i="4"/>
  <c r="W53" i="4"/>
  <c r="U53" i="4"/>
  <c r="V53" i="4" s="1"/>
  <c r="T53" i="4"/>
  <c r="S53" i="4"/>
  <c r="P53" i="4"/>
  <c r="N53" i="4"/>
  <c r="M53" i="4"/>
  <c r="K53" i="4"/>
  <c r="W52" i="4"/>
  <c r="U52" i="4"/>
  <c r="V52" i="4" s="1"/>
  <c r="T52" i="4"/>
  <c r="S52" i="4"/>
  <c r="P52" i="4"/>
  <c r="N52" i="4"/>
  <c r="M52" i="4"/>
  <c r="K52" i="4"/>
  <c r="W51" i="4"/>
  <c r="U51" i="4"/>
  <c r="T51" i="4"/>
  <c r="P51" i="4"/>
  <c r="N51" i="4"/>
  <c r="M51" i="4"/>
  <c r="W49" i="4"/>
  <c r="U49" i="4"/>
  <c r="T49" i="4"/>
  <c r="P49" i="4"/>
  <c r="N49" i="4"/>
  <c r="M49" i="4"/>
  <c r="W48" i="4"/>
  <c r="U48" i="4"/>
  <c r="T48" i="4"/>
  <c r="P48" i="4"/>
  <c r="N48" i="4"/>
  <c r="M48" i="4"/>
  <c r="W47" i="4"/>
  <c r="U47" i="4"/>
  <c r="T47" i="4"/>
  <c r="S47" i="4"/>
  <c r="P47" i="4"/>
  <c r="M47" i="4"/>
  <c r="W46" i="4"/>
  <c r="T46" i="4"/>
  <c r="S46" i="4"/>
  <c r="M46" i="4"/>
  <c r="T45" i="4"/>
  <c r="S45" i="4"/>
  <c r="P45" i="4"/>
  <c r="N45" i="4"/>
  <c r="M45" i="4"/>
  <c r="J45" i="4"/>
  <c r="K45" i="4" s="1"/>
  <c r="W44" i="4"/>
  <c r="T44" i="4"/>
  <c r="S44" i="4"/>
  <c r="P44" i="4"/>
  <c r="N44" i="4"/>
  <c r="M44" i="4"/>
  <c r="J44" i="4"/>
  <c r="U44" i="4" s="1"/>
  <c r="W43" i="4"/>
  <c r="U43" i="4"/>
  <c r="T43" i="4"/>
  <c r="S43" i="4"/>
  <c r="P43" i="4"/>
  <c r="N43" i="4"/>
  <c r="M43" i="4"/>
  <c r="K43" i="4"/>
  <c r="T42" i="4"/>
  <c r="S42" i="4"/>
  <c r="P42" i="4"/>
  <c r="N42" i="4"/>
  <c r="M42" i="4"/>
  <c r="J42" i="4"/>
  <c r="U42" i="4" s="1"/>
  <c r="W41" i="4"/>
  <c r="U41" i="4"/>
  <c r="T41" i="4"/>
  <c r="P41" i="4"/>
  <c r="N41" i="4"/>
  <c r="M41" i="4"/>
  <c r="J41" i="4"/>
  <c r="S41" i="4"/>
  <c r="W40" i="4"/>
  <c r="T40" i="4"/>
  <c r="P40" i="4"/>
  <c r="N40" i="4"/>
  <c r="M40" i="4"/>
  <c r="J40" i="4"/>
  <c r="U40" i="4" s="1"/>
  <c r="W39" i="4"/>
  <c r="T39" i="4"/>
  <c r="P39" i="4"/>
  <c r="N39" i="4"/>
  <c r="M39" i="4"/>
  <c r="J39" i="4"/>
  <c r="W38" i="4"/>
  <c r="U38" i="4"/>
  <c r="T38" i="4"/>
  <c r="P38" i="4"/>
  <c r="N38" i="4"/>
  <c r="M38" i="4"/>
  <c r="J38" i="4"/>
  <c r="S38" i="4"/>
  <c r="W37" i="4"/>
  <c r="T37" i="4"/>
  <c r="S37" i="4"/>
  <c r="P37" i="4"/>
  <c r="N37" i="4"/>
  <c r="M37" i="4"/>
  <c r="J37" i="4"/>
  <c r="U37" i="4" s="1"/>
  <c r="W36" i="4"/>
  <c r="T36" i="4"/>
  <c r="P36" i="4"/>
  <c r="N36" i="4"/>
  <c r="M36" i="4"/>
  <c r="J36" i="4"/>
  <c r="T35" i="4"/>
  <c r="P35" i="4"/>
  <c r="N35" i="4"/>
  <c r="M35" i="4"/>
  <c r="W34" i="4"/>
  <c r="U34" i="4"/>
  <c r="T34" i="4"/>
  <c r="P34" i="4"/>
  <c r="N34" i="4"/>
  <c r="M34" i="4"/>
  <c r="W33" i="4"/>
  <c r="T33" i="4"/>
  <c r="P33" i="4"/>
  <c r="N33" i="4"/>
  <c r="M33" i="4"/>
  <c r="U32" i="4"/>
  <c r="T32" i="4"/>
  <c r="S32" i="4"/>
  <c r="P32" i="4"/>
  <c r="N32" i="4"/>
  <c r="M32" i="4"/>
  <c r="K32" i="4"/>
  <c r="W31" i="4"/>
  <c r="U31" i="4"/>
  <c r="T31" i="4"/>
  <c r="P31" i="4"/>
  <c r="N31" i="4"/>
  <c r="M31" i="4"/>
  <c r="J31" i="4"/>
  <c r="H31" i="4"/>
  <c r="W30" i="4"/>
  <c r="U30" i="4"/>
  <c r="T30" i="4"/>
  <c r="P30" i="4"/>
  <c r="N30" i="4"/>
  <c r="M30" i="4"/>
  <c r="J30" i="4"/>
  <c r="S30" i="4"/>
  <c r="W29" i="4"/>
  <c r="T29" i="4"/>
  <c r="P29" i="4"/>
  <c r="N29" i="4"/>
  <c r="M29" i="4"/>
  <c r="J29" i="4"/>
  <c r="U29" i="4" s="1"/>
  <c r="U28" i="4"/>
  <c r="T28" i="4"/>
  <c r="S28" i="4"/>
  <c r="P28" i="4"/>
  <c r="N28" i="4"/>
  <c r="M28" i="4"/>
  <c r="K28" i="4"/>
  <c r="W27" i="4"/>
  <c r="T27" i="4"/>
  <c r="P27" i="4"/>
  <c r="N27" i="4"/>
  <c r="M27" i="4"/>
  <c r="J27" i="4"/>
  <c r="U27" i="4" s="1"/>
  <c r="W26" i="4"/>
  <c r="T26" i="4"/>
  <c r="S26" i="4"/>
  <c r="P26" i="4"/>
  <c r="N26" i="4"/>
  <c r="M26" i="4"/>
  <c r="J26" i="4"/>
  <c r="U26" i="4" s="1"/>
  <c r="W25" i="4"/>
  <c r="T25" i="4"/>
  <c r="S25" i="4"/>
  <c r="P25" i="4"/>
  <c r="N25" i="4"/>
  <c r="M25" i="4"/>
  <c r="J25" i="4"/>
  <c r="K25" i="4" s="1"/>
  <c r="W24" i="4"/>
  <c r="U24" i="4"/>
  <c r="T24" i="4"/>
  <c r="P24" i="4"/>
  <c r="N24" i="4"/>
  <c r="M24" i="4"/>
  <c r="J24" i="4"/>
  <c r="W23" i="4"/>
  <c r="U23" i="4"/>
  <c r="T23" i="4"/>
  <c r="P23" i="4"/>
  <c r="N23" i="4"/>
  <c r="M23" i="4"/>
  <c r="J23" i="4"/>
  <c r="W22" i="4"/>
  <c r="T22" i="4"/>
  <c r="S22" i="4"/>
  <c r="P22" i="4"/>
  <c r="N22" i="4"/>
  <c r="M22" i="4"/>
  <c r="J22" i="4"/>
  <c r="U22" i="4" s="1"/>
  <c r="H22" i="4"/>
  <c r="T21" i="4"/>
  <c r="S21" i="4"/>
  <c r="P21" i="4"/>
  <c r="N21" i="4"/>
  <c r="M21" i="4"/>
  <c r="J21" i="4"/>
  <c r="U21" i="4" s="1"/>
  <c r="H21" i="4"/>
  <c r="K21" i="4" s="1"/>
  <c r="W20" i="4"/>
  <c r="T20" i="4"/>
  <c r="S20" i="4"/>
  <c r="P20" i="4"/>
  <c r="N20" i="4"/>
  <c r="M20" i="4"/>
  <c r="J20" i="4"/>
  <c r="K20" i="4" s="1"/>
  <c r="W19" i="4"/>
  <c r="U19" i="4"/>
  <c r="T19" i="4"/>
  <c r="P19" i="4"/>
  <c r="N19" i="4"/>
  <c r="M19" i="4"/>
  <c r="J19" i="4"/>
  <c r="S19" i="4"/>
  <c r="W18" i="4"/>
  <c r="U18" i="4"/>
  <c r="T18" i="4"/>
  <c r="P18" i="4"/>
  <c r="N18" i="4"/>
  <c r="M18" i="4"/>
  <c r="J18" i="4"/>
  <c r="H18" i="4"/>
  <c r="K18" i="4" s="1"/>
  <c r="W17" i="4"/>
  <c r="T17" i="4"/>
  <c r="S17" i="4"/>
  <c r="P17" i="4"/>
  <c r="M17" i="4"/>
  <c r="J17" i="4"/>
  <c r="U17" i="4" s="1"/>
  <c r="H17" i="4"/>
  <c r="W16" i="4"/>
  <c r="T16" i="4"/>
  <c r="S16" i="4"/>
  <c r="P16" i="4"/>
  <c r="N16" i="4"/>
  <c r="M16" i="4"/>
  <c r="J16" i="4"/>
  <c r="U16" i="4" s="1"/>
  <c r="H16" i="4"/>
  <c r="W15" i="4"/>
  <c r="U15" i="4"/>
  <c r="T15" i="4"/>
  <c r="S15" i="4"/>
  <c r="P15" i="4"/>
  <c r="N15" i="4"/>
  <c r="M15" i="4"/>
  <c r="J15" i="4"/>
  <c r="K15" i="4" s="1"/>
  <c r="S12" i="4"/>
  <c r="S11" i="4"/>
  <c r="U6" i="4"/>
  <c r="T6" i="4"/>
  <c r="N6" i="4"/>
  <c r="V5" i="4"/>
  <c r="W4" i="4"/>
  <c r="W5" i="4" s="1"/>
  <c r="W3" i="4"/>
  <c r="V3" i="4"/>
  <c r="G50" i="3"/>
  <c r="H49" i="3"/>
  <c r="H49" i="2"/>
  <c r="H48" i="2"/>
  <c r="H50" i="2" s="1"/>
  <c r="H62" i="3"/>
  <c r="H48" i="3"/>
  <c r="S48" i="3" s="1"/>
  <c r="U255" i="3"/>
  <c r="U254" i="3"/>
  <c r="U253" i="3"/>
  <c r="U252" i="3"/>
  <c r="U251" i="3"/>
  <c r="U250" i="3"/>
  <c r="U249" i="3"/>
  <c r="U248" i="3"/>
  <c r="U247" i="3"/>
  <c r="U246" i="3"/>
  <c r="M245" i="3"/>
  <c r="U244" i="3"/>
  <c r="U243" i="3"/>
  <c r="U242" i="3"/>
  <c r="U241" i="3"/>
  <c r="U240" i="3"/>
  <c r="U239" i="3"/>
  <c r="U238" i="3"/>
  <c r="U237" i="3"/>
  <c r="U236" i="3"/>
  <c r="U235" i="3"/>
  <c r="M234" i="3"/>
  <c r="U233" i="3"/>
  <c r="U232" i="3"/>
  <c r="U231" i="3"/>
  <c r="U230" i="3"/>
  <c r="U229" i="3"/>
  <c r="U228" i="3"/>
  <c r="U227" i="3"/>
  <c r="U226" i="3"/>
  <c r="U225" i="3"/>
  <c r="U224" i="3"/>
  <c r="M223" i="3"/>
  <c r="U222" i="3"/>
  <c r="U221" i="3"/>
  <c r="U220" i="3"/>
  <c r="U219" i="3"/>
  <c r="U218" i="3"/>
  <c r="U217" i="3"/>
  <c r="U216" i="3"/>
  <c r="U215" i="3"/>
  <c r="U214" i="3"/>
  <c r="U213" i="3"/>
  <c r="M212" i="3"/>
  <c r="U211" i="3"/>
  <c r="U210" i="3"/>
  <c r="U209" i="3"/>
  <c r="U208" i="3"/>
  <c r="U207" i="3"/>
  <c r="U206" i="3"/>
  <c r="U205" i="3"/>
  <c r="U204" i="3"/>
  <c r="U203" i="3"/>
  <c r="U202" i="3"/>
  <c r="M201" i="3"/>
  <c r="U200" i="3"/>
  <c r="U199" i="3"/>
  <c r="U198" i="3"/>
  <c r="U197" i="3"/>
  <c r="U196" i="3"/>
  <c r="U195" i="3"/>
  <c r="U194" i="3"/>
  <c r="U193" i="3"/>
  <c r="U192" i="3"/>
  <c r="U191" i="3"/>
  <c r="M190" i="3"/>
  <c r="U189" i="3"/>
  <c r="U188" i="3"/>
  <c r="U187" i="3"/>
  <c r="U186" i="3"/>
  <c r="U185" i="3"/>
  <c r="U184" i="3"/>
  <c r="U183" i="3"/>
  <c r="U182" i="3"/>
  <c r="U181" i="3"/>
  <c r="U180" i="3"/>
  <c r="M179" i="3"/>
  <c r="U178" i="3"/>
  <c r="U177" i="3"/>
  <c r="U176" i="3"/>
  <c r="U175" i="3"/>
  <c r="U174" i="3"/>
  <c r="U173" i="3"/>
  <c r="U172" i="3"/>
  <c r="U171" i="3"/>
  <c r="U170" i="3"/>
  <c r="U169" i="3"/>
  <c r="M168" i="3"/>
  <c r="U167" i="3"/>
  <c r="U166" i="3"/>
  <c r="U165" i="3"/>
  <c r="U164" i="3"/>
  <c r="U163" i="3"/>
  <c r="U162" i="3"/>
  <c r="U161" i="3"/>
  <c r="U160" i="3"/>
  <c r="U159" i="3"/>
  <c r="U158" i="3"/>
  <c r="M157" i="3"/>
  <c r="U156" i="3"/>
  <c r="U155" i="3"/>
  <c r="U154" i="3"/>
  <c r="U153" i="3"/>
  <c r="U152" i="3"/>
  <c r="U151" i="3"/>
  <c r="U150" i="3"/>
  <c r="U149" i="3"/>
  <c r="U148" i="3"/>
  <c r="U147" i="3"/>
  <c r="M146" i="3"/>
  <c r="U145" i="3"/>
  <c r="U144" i="3"/>
  <c r="U143" i="3"/>
  <c r="U142" i="3"/>
  <c r="U141" i="3"/>
  <c r="U140" i="3"/>
  <c r="U139" i="3"/>
  <c r="U138" i="3"/>
  <c r="U137" i="3"/>
  <c r="U136" i="3"/>
  <c r="M135" i="3"/>
  <c r="U134" i="3"/>
  <c r="U133" i="3"/>
  <c r="U132" i="3"/>
  <c r="U131" i="3"/>
  <c r="U130" i="3"/>
  <c r="U129" i="3"/>
  <c r="U128" i="3"/>
  <c r="U127" i="3"/>
  <c r="U126" i="3"/>
  <c r="U125" i="3"/>
  <c r="M124" i="3"/>
  <c r="W75" i="3"/>
  <c r="U75" i="3"/>
  <c r="T75" i="3"/>
  <c r="S75" i="3"/>
  <c r="P75" i="3"/>
  <c r="M75" i="3"/>
  <c r="W74" i="3"/>
  <c r="T74" i="3"/>
  <c r="S74" i="3"/>
  <c r="V74" i="3" s="1"/>
  <c r="N74" i="3"/>
  <c r="M74" i="3"/>
  <c r="J74" i="3"/>
  <c r="W73" i="3"/>
  <c r="U73" i="3"/>
  <c r="T73" i="3"/>
  <c r="N73" i="3"/>
  <c r="M73" i="3"/>
  <c r="J73" i="3"/>
  <c r="H73" i="3"/>
  <c r="S73" i="3" s="1"/>
  <c r="W72" i="3"/>
  <c r="T72" i="3"/>
  <c r="S72" i="3"/>
  <c r="P72" i="3"/>
  <c r="N72" i="3"/>
  <c r="M72" i="3"/>
  <c r="J72" i="3"/>
  <c r="U72" i="3" s="1"/>
  <c r="H72" i="3"/>
  <c r="W71" i="3"/>
  <c r="U71" i="3"/>
  <c r="T71" i="3"/>
  <c r="S71" i="3"/>
  <c r="P71" i="3"/>
  <c r="N71" i="3"/>
  <c r="M71" i="3"/>
  <c r="J71" i="3"/>
  <c r="H71" i="3"/>
  <c r="W70" i="3"/>
  <c r="T70" i="3"/>
  <c r="P70" i="3"/>
  <c r="N70" i="3"/>
  <c r="M70" i="3"/>
  <c r="J70" i="3"/>
  <c r="U70" i="3" s="1"/>
  <c r="H70" i="3"/>
  <c r="S70" i="3" s="1"/>
  <c r="W69" i="3"/>
  <c r="T69" i="3"/>
  <c r="S69" i="3"/>
  <c r="N69" i="3"/>
  <c r="M69" i="3"/>
  <c r="J69" i="3"/>
  <c r="U69" i="3" s="1"/>
  <c r="W68" i="3"/>
  <c r="U68" i="3"/>
  <c r="T68" i="3"/>
  <c r="S68" i="3"/>
  <c r="N68" i="3"/>
  <c r="M68" i="3"/>
  <c r="K68" i="3"/>
  <c r="J68" i="3"/>
  <c r="W67" i="3"/>
  <c r="U67" i="3"/>
  <c r="T67" i="3"/>
  <c r="S67" i="3"/>
  <c r="N67" i="3"/>
  <c r="M67" i="3"/>
  <c r="K67" i="3"/>
  <c r="W66" i="3"/>
  <c r="U66" i="3"/>
  <c r="T66" i="3"/>
  <c r="S66" i="3"/>
  <c r="N66" i="3"/>
  <c r="M66" i="3"/>
  <c r="K66" i="3"/>
  <c r="W65" i="3"/>
  <c r="U65" i="3"/>
  <c r="T65" i="3"/>
  <c r="S65" i="3"/>
  <c r="P65" i="3"/>
  <c r="M65" i="3"/>
  <c r="W64" i="3"/>
  <c r="T64" i="3"/>
  <c r="S64" i="3"/>
  <c r="M64" i="3"/>
  <c r="W63" i="3"/>
  <c r="T63" i="3"/>
  <c r="S63" i="3"/>
  <c r="N63" i="3"/>
  <c r="M63" i="3"/>
  <c r="J63" i="3"/>
  <c r="U63" i="3" s="1"/>
  <c r="U62" i="3"/>
  <c r="T62" i="3"/>
  <c r="P62" i="3"/>
  <c r="N62" i="3"/>
  <c r="M62" i="3"/>
  <c r="J62" i="3"/>
  <c r="K62" i="3"/>
  <c r="L62" i="3" s="1"/>
  <c r="W62" i="3" s="1"/>
  <c r="T61" i="3"/>
  <c r="S61" i="3"/>
  <c r="P61" i="3"/>
  <c r="N61" i="3"/>
  <c r="M61" i="3"/>
  <c r="J61" i="3"/>
  <c r="U61" i="3" s="1"/>
  <c r="W60" i="3"/>
  <c r="U60" i="3"/>
  <c r="T60" i="3"/>
  <c r="S60" i="3"/>
  <c r="P60" i="3"/>
  <c r="N60" i="3"/>
  <c r="M60" i="3"/>
  <c r="K60" i="3"/>
  <c r="W59" i="3"/>
  <c r="U59" i="3"/>
  <c r="T59" i="3"/>
  <c r="S59" i="3"/>
  <c r="P59" i="3"/>
  <c r="N59" i="3"/>
  <c r="M59" i="3"/>
  <c r="K59" i="3"/>
  <c r="W58" i="3"/>
  <c r="T58" i="3"/>
  <c r="S58" i="3"/>
  <c r="P58" i="3"/>
  <c r="N58" i="3"/>
  <c r="M58" i="3"/>
  <c r="J58" i="3"/>
  <c r="K58" i="3" s="1"/>
  <c r="W57" i="3"/>
  <c r="T57" i="3"/>
  <c r="P57" i="3"/>
  <c r="N57" i="3"/>
  <c r="M57" i="3"/>
  <c r="J57" i="3"/>
  <c r="U57" i="3" s="1"/>
  <c r="W56" i="3"/>
  <c r="T56" i="3"/>
  <c r="S56" i="3"/>
  <c r="P56" i="3"/>
  <c r="N56" i="3"/>
  <c r="M56" i="3"/>
  <c r="J56" i="3"/>
  <c r="U56" i="3" s="1"/>
  <c r="W55" i="3"/>
  <c r="T55" i="3"/>
  <c r="S55" i="3"/>
  <c r="P55" i="3"/>
  <c r="N55" i="3"/>
  <c r="M55" i="3"/>
  <c r="J55" i="3"/>
  <c r="K55" i="3" s="1"/>
  <c r="W54" i="3"/>
  <c r="T54" i="3"/>
  <c r="S54" i="3"/>
  <c r="P54" i="3"/>
  <c r="N54" i="3"/>
  <c r="M54" i="3"/>
  <c r="J54" i="3"/>
  <c r="K54" i="3" s="1"/>
  <c r="W53" i="3"/>
  <c r="U53" i="3"/>
  <c r="T53" i="3"/>
  <c r="S53" i="3"/>
  <c r="P53" i="3"/>
  <c r="N53" i="3"/>
  <c r="M53" i="3"/>
  <c r="K53" i="3"/>
  <c r="W52" i="3"/>
  <c r="U52" i="3"/>
  <c r="T52" i="3"/>
  <c r="S52" i="3"/>
  <c r="P52" i="3"/>
  <c r="N52" i="3"/>
  <c r="M52" i="3"/>
  <c r="K52" i="3"/>
  <c r="W51" i="3"/>
  <c r="U51" i="3"/>
  <c r="T51" i="3"/>
  <c r="S51" i="3"/>
  <c r="P51" i="3"/>
  <c r="N51" i="3"/>
  <c r="M51" i="3"/>
  <c r="K51" i="3"/>
  <c r="W50" i="3"/>
  <c r="T50" i="3"/>
  <c r="P50" i="3"/>
  <c r="N50" i="3"/>
  <c r="M50" i="3"/>
  <c r="W49" i="3"/>
  <c r="U49" i="3"/>
  <c r="T49" i="3"/>
  <c r="S49" i="3"/>
  <c r="P49" i="3"/>
  <c r="N49" i="3"/>
  <c r="M49" i="3"/>
  <c r="K49" i="3"/>
  <c r="W48" i="3"/>
  <c r="U48" i="3"/>
  <c r="T48" i="3"/>
  <c r="P48" i="3"/>
  <c r="N48" i="3"/>
  <c r="M48" i="3"/>
  <c r="W47" i="3"/>
  <c r="U47" i="3"/>
  <c r="T47" i="3"/>
  <c r="S47" i="3"/>
  <c r="P47" i="3"/>
  <c r="M47" i="3"/>
  <c r="W46" i="3"/>
  <c r="T46" i="3"/>
  <c r="S46" i="3"/>
  <c r="M46" i="3"/>
  <c r="T45" i="3"/>
  <c r="S45" i="3"/>
  <c r="P45" i="3"/>
  <c r="N45" i="3"/>
  <c r="M45" i="3"/>
  <c r="J45" i="3"/>
  <c r="U45" i="3" s="1"/>
  <c r="V45" i="3" s="1"/>
  <c r="W44" i="3"/>
  <c r="T44" i="3"/>
  <c r="S44" i="3"/>
  <c r="P44" i="3"/>
  <c r="N44" i="3"/>
  <c r="M44" i="3"/>
  <c r="J44" i="3"/>
  <c r="K44" i="3" s="1"/>
  <c r="W43" i="3"/>
  <c r="U43" i="3"/>
  <c r="T43" i="3"/>
  <c r="S43" i="3"/>
  <c r="V43" i="3" s="1"/>
  <c r="P43" i="3"/>
  <c r="N43" i="3"/>
  <c r="M43" i="3"/>
  <c r="K43" i="3"/>
  <c r="T42" i="3"/>
  <c r="S42" i="3"/>
  <c r="P42" i="3"/>
  <c r="N42" i="3"/>
  <c r="M42" i="3"/>
  <c r="J42" i="3"/>
  <c r="K42" i="3" s="1"/>
  <c r="W41" i="3"/>
  <c r="U41" i="3"/>
  <c r="T41" i="3"/>
  <c r="P41" i="3"/>
  <c r="N41" i="3"/>
  <c r="M41" i="3"/>
  <c r="J41" i="3"/>
  <c r="H41" i="3"/>
  <c r="S41" i="3" s="1"/>
  <c r="W40" i="3"/>
  <c r="T40" i="3"/>
  <c r="P40" i="3"/>
  <c r="N40" i="3"/>
  <c r="M40" i="3"/>
  <c r="J40" i="3"/>
  <c r="H40" i="3"/>
  <c r="S40" i="3" s="1"/>
  <c r="W39" i="3"/>
  <c r="T39" i="3"/>
  <c r="P39" i="3"/>
  <c r="N39" i="3"/>
  <c r="M39" i="3"/>
  <c r="J39" i="3"/>
  <c r="U39" i="3" s="1"/>
  <c r="H39" i="3"/>
  <c r="S39" i="3" s="1"/>
  <c r="W38" i="3"/>
  <c r="T38" i="3"/>
  <c r="P38" i="3"/>
  <c r="N38" i="3"/>
  <c r="M38" i="3"/>
  <c r="J38" i="3"/>
  <c r="U38" i="3" s="1"/>
  <c r="H38" i="3"/>
  <c r="W37" i="3"/>
  <c r="U37" i="3"/>
  <c r="T37" i="3"/>
  <c r="S37" i="3"/>
  <c r="P37" i="3"/>
  <c r="N37" i="3"/>
  <c r="M37" i="3"/>
  <c r="J37" i="3"/>
  <c r="K37" i="3" s="1"/>
  <c r="W36" i="3"/>
  <c r="T36" i="3"/>
  <c r="P36" i="3"/>
  <c r="N36" i="3"/>
  <c r="M36" i="3"/>
  <c r="J36" i="3"/>
  <c r="U36" i="3" s="1"/>
  <c r="H36" i="3"/>
  <c r="S36" i="3" s="1"/>
  <c r="T35" i="3"/>
  <c r="P35" i="3"/>
  <c r="N35" i="3"/>
  <c r="M35" i="3"/>
  <c r="U35" i="3"/>
  <c r="W34" i="3"/>
  <c r="U34" i="3"/>
  <c r="T34" i="3"/>
  <c r="P34" i="3"/>
  <c r="N34" i="3"/>
  <c r="M34" i="3"/>
  <c r="W33" i="3"/>
  <c r="T33" i="3"/>
  <c r="P33" i="3"/>
  <c r="N33" i="3"/>
  <c r="M33" i="3"/>
  <c r="S33" i="3"/>
  <c r="U32" i="3"/>
  <c r="T32" i="3"/>
  <c r="S32" i="3"/>
  <c r="P32" i="3"/>
  <c r="N32" i="3"/>
  <c r="M32" i="3"/>
  <c r="K32" i="3"/>
  <c r="W31" i="3"/>
  <c r="T31" i="3"/>
  <c r="P31" i="3"/>
  <c r="N31" i="3"/>
  <c r="M31" i="3"/>
  <c r="J31" i="3"/>
  <c r="U31" i="3" s="1"/>
  <c r="H31" i="3"/>
  <c r="S31" i="3" s="1"/>
  <c r="W30" i="3"/>
  <c r="T30" i="3"/>
  <c r="P30" i="3"/>
  <c r="N30" i="3"/>
  <c r="M30" i="3"/>
  <c r="J30" i="3"/>
  <c r="U30" i="3" s="1"/>
  <c r="H30" i="3"/>
  <c r="S30" i="3" s="1"/>
  <c r="W29" i="3"/>
  <c r="T29" i="3"/>
  <c r="P29" i="3"/>
  <c r="N29" i="3"/>
  <c r="M29" i="3"/>
  <c r="J29" i="3"/>
  <c r="H29" i="3"/>
  <c r="S29" i="3" s="1"/>
  <c r="U28" i="3"/>
  <c r="T28" i="3"/>
  <c r="S28" i="3"/>
  <c r="P28" i="3"/>
  <c r="N28" i="3"/>
  <c r="M28" i="3"/>
  <c r="K28" i="3"/>
  <c r="W27" i="3"/>
  <c r="T27" i="3"/>
  <c r="S27" i="3"/>
  <c r="P27" i="3"/>
  <c r="N27" i="3"/>
  <c r="M27" i="3"/>
  <c r="J27" i="3"/>
  <c r="U27" i="3" s="1"/>
  <c r="H27" i="3"/>
  <c r="W26" i="3"/>
  <c r="T26" i="3"/>
  <c r="S26" i="3"/>
  <c r="P26" i="3"/>
  <c r="N26" i="3"/>
  <c r="M26" i="3"/>
  <c r="J26" i="3"/>
  <c r="K26" i="3" s="1"/>
  <c r="H26" i="3"/>
  <c r="W25" i="3"/>
  <c r="T25" i="3"/>
  <c r="P25" i="3"/>
  <c r="N25" i="3"/>
  <c r="M25" i="3"/>
  <c r="J25" i="3"/>
  <c r="U25" i="3" s="1"/>
  <c r="H25" i="3"/>
  <c r="S25" i="3" s="1"/>
  <c r="W24" i="3"/>
  <c r="T24" i="3"/>
  <c r="P24" i="3"/>
  <c r="N24" i="3"/>
  <c r="M24" i="3"/>
  <c r="J24" i="3"/>
  <c r="U24" i="3" s="1"/>
  <c r="H24" i="3"/>
  <c r="W23" i="3"/>
  <c r="T23" i="3"/>
  <c r="S23" i="3"/>
  <c r="P23" i="3"/>
  <c r="N23" i="3"/>
  <c r="M23" i="3"/>
  <c r="J23" i="3"/>
  <c r="U23" i="3" s="1"/>
  <c r="H23" i="3"/>
  <c r="W22" i="3"/>
  <c r="T22" i="3"/>
  <c r="S22" i="3"/>
  <c r="P22" i="3"/>
  <c r="N22" i="3"/>
  <c r="M22" i="3"/>
  <c r="J22" i="3"/>
  <c r="U22" i="3" s="1"/>
  <c r="V22" i="3" s="1"/>
  <c r="H22" i="3"/>
  <c r="T21" i="3"/>
  <c r="P21" i="3"/>
  <c r="N21" i="3"/>
  <c r="M21" i="3"/>
  <c r="J21" i="3"/>
  <c r="H21" i="3"/>
  <c r="S21" i="3" s="1"/>
  <c r="W20" i="3"/>
  <c r="T20" i="3"/>
  <c r="P20" i="3"/>
  <c r="N20" i="3"/>
  <c r="M20" i="3"/>
  <c r="J20" i="3"/>
  <c r="U20" i="3" s="1"/>
  <c r="H20" i="3"/>
  <c r="S20" i="3" s="1"/>
  <c r="W19" i="3"/>
  <c r="T19" i="3"/>
  <c r="P19" i="3"/>
  <c r="N19" i="3"/>
  <c r="M19" i="3"/>
  <c r="J19" i="3"/>
  <c r="U19" i="3" s="1"/>
  <c r="H19" i="3"/>
  <c r="W18" i="3"/>
  <c r="T18" i="3"/>
  <c r="P18" i="3"/>
  <c r="N18" i="3"/>
  <c r="M18" i="3"/>
  <c r="J18" i="3"/>
  <c r="U18" i="3" s="1"/>
  <c r="H18" i="3"/>
  <c r="K18" i="3" s="1"/>
  <c r="W17" i="3"/>
  <c r="T17" i="3"/>
  <c r="P17" i="3"/>
  <c r="N17" i="3"/>
  <c r="M17" i="3"/>
  <c r="J17" i="3"/>
  <c r="U17" i="3" s="1"/>
  <c r="H17" i="3"/>
  <c r="S17" i="3" s="1"/>
  <c r="W16" i="3"/>
  <c r="T16" i="3"/>
  <c r="S16" i="3"/>
  <c r="P16" i="3"/>
  <c r="N16" i="3"/>
  <c r="M16" i="3"/>
  <c r="J16" i="3"/>
  <c r="U16" i="3" s="1"/>
  <c r="H16" i="3"/>
  <c r="W15" i="3"/>
  <c r="T15" i="3"/>
  <c r="S15" i="3"/>
  <c r="P15" i="3"/>
  <c r="N15" i="3"/>
  <c r="M15" i="3"/>
  <c r="J15" i="3"/>
  <c r="K15" i="3" s="1"/>
  <c r="S12" i="3"/>
  <c r="S11" i="3"/>
  <c r="U6" i="3"/>
  <c r="T6" i="3"/>
  <c r="N6" i="3"/>
  <c r="V5" i="3"/>
  <c r="W4" i="3"/>
  <c r="W5" i="3" s="1"/>
  <c r="W3" i="3"/>
  <c r="V3" i="3"/>
  <c r="N69" i="2"/>
  <c r="N70" i="2"/>
  <c r="N71" i="2"/>
  <c r="N72" i="2"/>
  <c r="N73" i="2"/>
  <c r="N74" i="2"/>
  <c r="N75" i="2"/>
  <c r="N76" i="2"/>
  <c r="N68" i="2"/>
  <c r="N49" i="2"/>
  <c r="N50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48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15" i="2"/>
  <c r="U257" i="2"/>
  <c r="U256" i="2"/>
  <c r="U255" i="2"/>
  <c r="U254" i="2"/>
  <c r="U253" i="2"/>
  <c r="U252" i="2"/>
  <c r="U251" i="2"/>
  <c r="U250" i="2"/>
  <c r="U249" i="2"/>
  <c r="U248" i="2"/>
  <c r="M247" i="2"/>
  <c r="U246" i="2"/>
  <c r="U245" i="2"/>
  <c r="U244" i="2"/>
  <c r="U243" i="2"/>
  <c r="U242" i="2"/>
  <c r="U241" i="2"/>
  <c r="U240" i="2"/>
  <c r="U239" i="2"/>
  <c r="U238" i="2"/>
  <c r="U237" i="2"/>
  <c r="M236" i="2"/>
  <c r="U235" i="2"/>
  <c r="U234" i="2"/>
  <c r="U233" i="2"/>
  <c r="U232" i="2"/>
  <c r="U231" i="2"/>
  <c r="U230" i="2"/>
  <c r="U229" i="2"/>
  <c r="U228" i="2"/>
  <c r="U227" i="2"/>
  <c r="U226" i="2"/>
  <c r="M225" i="2"/>
  <c r="U224" i="2"/>
  <c r="U223" i="2"/>
  <c r="U222" i="2"/>
  <c r="U221" i="2"/>
  <c r="U220" i="2"/>
  <c r="U219" i="2"/>
  <c r="U218" i="2"/>
  <c r="U217" i="2"/>
  <c r="U216" i="2"/>
  <c r="U215" i="2"/>
  <c r="M214" i="2"/>
  <c r="U213" i="2"/>
  <c r="U212" i="2"/>
  <c r="U211" i="2"/>
  <c r="U210" i="2"/>
  <c r="U209" i="2"/>
  <c r="U208" i="2"/>
  <c r="U207" i="2"/>
  <c r="U206" i="2"/>
  <c r="U205" i="2"/>
  <c r="U204" i="2"/>
  <c r="M203" i="2"/>
  <c r="U202" i="2"/>
  <c r="U201" i="2"/>
  <c r="U200" i="2"/>
  <c r="U199" i="2"/>
  <c r="U198" i="2"/>
  <c r="U197" i="2"/>
  <c r="U196" i="2"/>
  <c r="U195" i="2"/>
  <c r="U194" i="2"/>
  <c r="U193" i="2"/>
  <c r="M192" i="2"/>
  <c r="U191" i="2"/>
  <c r="U190" i="2"/>
  <c r="U189" i="2"/>
  <c r="U188" i="2"/>
  <c r="U187" i="2"/>
  <c r="U186" i="2"/>
  <c r="U185" i="2"/>
  <c r="U184" i="2"/>
  <c r="U183" i="2"/>
  <c r="U182" i="2"/>
  <c r="M181" i="2"/>
  <c r="U180" i="2"/>
  <c r="U179" i="2"/>
  <c r="U178" i="2"/>
  <c r="U177" i="2"/>
  <c r="U176" i="2"/>
  <c r="U175" i="2"/>
  <c r="U174" i="2"/>
  <c r="U173" i="2"/>
  <c r="U172" i="2"/>
  <c r="U171" i="2"/>
  <c r="M170" i="2"/>
  <c r="U169" i="2"/>
  <c r="U168" i="2"/>
  <c r="U167" i="2"/>
  <c r="U166" i="2"/>
  <c r="U165" i="2"/>
  <c r="U164" i="2"/>
  <c r="U163" i="2"/>
  <c r="U162" i="2"/>
  <c r="U161" i="2"/>
  <c r="U160" i="2"/>
  <c r="M159" i="2"/>
  <c r="U158" i="2"/>
  <c r="U157" i="2"/>
  <c r="U156" i="2"/>
  <c r="U155" i="2"/>
  <c r="U154" i="2"/>
  <c r="U153" i="2"/>
  <c r="U152" i="2"/>
  <c r="U151" i="2"/>
  <c r="U150" i="2"/>
  <c r="U149" i="2"/>
  <c r="M148" i="2"/>
  <c r="U147" i="2"/>
  <c r="U146" i="2"/>
  <c r="U145" i="2"/>
  <c r="U144" i="2"/>
  <c r="U143" i="2"/>
  <c r="U142" i="2"/>
  <c r="U141" i="2"/>
  <c r="U140" i="2"/>
  <c r="U139" i="2"/>
  <c r="U138" i="2"/>
  <c r="M137" i="2"/>
  <c r="U136" i="2"/>
  <c r="U135" i="2"/>
  <c r="U134" i="2"/>
  <c r="U133" i="2"/>
  <c r="U132" i="2"/>
  <c r="U131" i="2"/>
  <c r="U130" i="2"/>
  <c r="U129" i="2"/>
  <c r="U128" i="2"/>
  <c r="U127" i="2"/>
  <c r="M126" i="2"/>
  <c r="W77" i="2"/>
  <c r="U77" i="2"/>
  <c r="T77" i="2"/>
  <c r="S77" i="2"/>
  <c r="P77" i="2"/>
  <c r="M77" i="2"/>
  <c r="W76" i="2"/>
  <c r="T76" i="2"/>
  <c r="S76" i="2"/>
  <c r="V76" i="2" s="1"/>
  <c r="M76" i="2"/>
  <c r="J76" i="2"/>
  <c r="W75" i="2"/>
  <c r="T75" i="2"/>
  <c r="M75" i="2"/>
  <c r="J75" i="2"/>
  <c r="U75" i="2" s="1"/>
  <c r="H75" i="2"/>
  <c r="K75" i="2" s="1"/>
  <c r="W74" i="2"/>
  <c r="U74" i="2"/>
  <c r="T74" i="2"/>
  <c r="P74" i="2"/>
  <c r="M74" i="2"/>
  <c r="J74" i="2"/>
  <c r="H74" i="2"/>
  <c r="S74" i="2" s="1"/>
  <c r="W73" i="2"/>
  <c r="T73" i="2"/>
  <c r="P73" i="2"/>
  <c r="M73" i="2"/>
  <c r="J73" i="2"/>
  <c r="U73" i="2" s="1"/>
  <c r="H73" i="2"/>
  <c r="S73" i="2" s="1"/>
  <c r="W72" i="2"/>
  <c r="T72" i="2"/>
  <c r="S72" i="2"/>
  <c r="P72" i="2"/>
  <c r="M72" i="2"/>
  <c r="J72" i="2"/>
  <c r="H72" i="2"/>
  <c r="W71" i="2"/>
  <c r="T71" i="2"/>
  <c r="S71" i="2"/>
  <c r="M71" i="2"/>
  <c r="J71" i="2"/>
  <c r="K71" i="2" s="1"/>
  <c r="W70" i="2"/>
  <c r="T70" i="2"/>
  <c r="S70" i="2"/>
  <c r="M70" i="2"/>
  <c r="J70" i="2"/>
  <c r="K70" i="2" s="1"/>
  <c r="W69" i="2"/>
  <c r="U69" i="2"/>
  <c r="T69" i="2"/>
  <c r="S69" i="2"/>
  <c r="M69" i="2"/>
  <c r="K69" i="2"/>
  <c r="W68" i="2"/>
  <c r="U68" i="2"/>
  <c r="T68" i="2"/>
  <c r="S68" i="2"/>
  <c r="M68" i="2"/>
  <c r="K68" i="2"/>
  <c r="W67" i="2"/>
  <c r="U67" i="2"/>
  <c r="T67" i="2"/>
  <c r="S67" i="2"/>
  <c r="P67" i="2"/>
  <c r="M67" i="2"/>
  <c r="W66" i="2"/>
  <c r="T66" i="2"/>
  <c r="S66" i="2"/>
  <c r="M66" i="2"/>
  <c r="W65" i="2"/>
  <c r="T65" i="2"/>
  <c r="S65" i="2"/>
  <c r="M65" i="2"/>
  <c r="J65" i="2"/>
  <c r="U65" i="2" s="1"/>
  <c r="V65" i="2" s="1"/>
  <c r="U64" i="2"/>
  <c r="T64" i="2"/>
  <c r="P64" i="2"/>
  <c r="M64" i="2"/>
  <c r="J64" i="2"/>
  <c r="H64" i="2"/>
  <c r="S64" i="2" s="1"/>
  <c r="V64" i="2" s="1"/>
  <c r="U63" i="2"/>
  <c r="T63" i="2"/>
  <c r="S63" i="2"/>
  <c r="P63" i="2"/>
  <c r="M63" i="2"/>
  <c r="K63" i="2"/>
  <c r="W62" i="2"/>
  <c r="U62" i="2"/>
  <c r="T62" i="2"/>
  <c r="S62" i="2"/>
  <c r="P62" i="2"/>
  <c r="M62" i="2"/>
  <c r="K62" i="2"/>
  <c r="W61" i="2"/>
  <c r="U61" i="2"/>
  <c r="T61" i="2"/>
  <c r="S61" i="2"/>
  <c r="P61" i="2"/>
  <c r="M61" i="2"/>
  <c r="K61" i="2"/>
  <c r="W60" i="2"/>
  <c r="T60" i="2"/>
  <c r="S60" i="2"/>
  <c r="P60" i="2"/>
  <c r="M60" i="2"/>
  <c r="K60" i="2"/>
  <c r="W59" i="2"/>
  <c r="T59" i="2"/>
  <c r="P59" i="2"/>
  <c r="M59" i="2"/>
  <c r="U59" i="2"/>
  <c r="H59" i="2"/>
  <c r="S59" i="2" s="1"/>
  <c r="W58" i="2"/>
  <c r="T58" i="2"/>
  <c r="S58" i="2"/>
  <c r="P58" i="2"/>
  <c r="M58" i="2"/>
  <c r="J58" i="2"/>
  <c r="U58" i="2" s="1"/>
  <c r="V58" i="2" s="1"/>
  <c r="W57" i="2"/>
  <c r="T57" i="2"/>
  <c r="S57" i="2"/>
  <c r="P57" i="2"/>
  <c r="M57" i="2"/>
  <c r="J57" i="2"/>
  <c r="U57" i="2" s="1"/>
  <c r="W56" i="2"/>
  <c r="T56" i="2"/>
  <c r="S56" i="2"/>
  <c r="P56" i="2"/>
  <c r="M56" i="2"/>
  <c r="J56" i="2"/>
  <c r="U56" i="2" s="1"/>
  <c r="W55" i="2"/>
  <c r="U55" i="2"/>
  <c r="T55" i="2"/>
  <c r="S55" i="2"/>
  <c r="P55" i="2"/>
  <c r="M55" i="2"/>
  <c r="K55" i="2"/>
  <c r="W54" i="2"/>
  <c r="U54" i="2"/>
  <c r="T54" i="2"/>
  <c r="S54" i="2"/>
  <c r="P54" i="2"/>
  <c r="M54" i="2"/>
  <c r="K54" i="2"/>
  <c r="W53" i="2"/>
  <c r="U53" i="2"/>
  <c r="T53" i="2"/>
  <c r="S53" i="2"/>
  <c r="P53" i="2"/>
  <c r="M53" i="2"/>
  <c r="K53" i="2"/>
  <c r="U52" i="2"/>
  <c r="T52" i="2"/>
  <c r="P52" i="2"/>
  <c r="M52" i="2"/>
  <c r="K52" i="2"/>
  <c r="W50" i="2"/>
  <c r="U50" i="2"/>
  <c r="T50" i="2"/>
  <c r="P50" i="2"/>
  <c r="M50" i="2"/>
  <c r="W49" i="2"/>
  <c r="U49" i="2"/>
  <c r="T49" i="2"/>
  <c r="S49" i="2"/>
  <c r="P49" i="2"/>
  <c r="M49" i="2"/>
  <c r="K49" i="2"/>
  <c r="W48" i="2"/>
  <c r="U48" i="2"/>
  <c r="T48" i="2"/>
  <c r="S48" i="2"/>
  <c r="P48" i="2"/>
  <c r="M48" i="2"/>
  <c r="K48" i="2"/>
  <c r="W47" i="2"/>
  <c r="U47" i="2"/>
  <c r="T47" i="2"/>
  <c r="S47" i="2"/>
  <c r="P47" i="2"/>
  <c r="M47" i="2"/>
  <c r="W46" i="2"/>
  <c r="T46" i="2"/>
  <c r="S46" i="2"/>
  <c r="M46" i="2"/>
  <c r="T45" i="2"/>
  <c r="S45" i="2"/>
  <c r="P45" i="2"/>
  <c r="M45" i="2"/>
  <c r="J45" i="2"/>
  <c r="K45" i="2" s="1"/>
  <c r="W44" i="2"/>
  <c r="T44" i="2"/>
  <c r="S44" i="2"/>
  <c r="P44" i="2"/>
  <c r="M44" i="2"/>
  <c r="J44" i="2"/>
  <c r="U44" i="2" s="1"/>
  <c r="V44" i="2" s="1"/>
  <c r="W43" i="2"/>
  <c r="T43" i="2"/>
  <c r="S43" i="2"/>
  <c r="P43" i="2"/>
  <c r="M43" i="2"/>
  <c r="K43" i="2"/>
  <c r="U42" i="2"/>
  <c r="T42" i="2"/>
  <c r="S42" i="2"/>
  <c r="P42" i="2"/>
  <c r="M42" i="2"/>
  <c r="J42" i="2"/>
  <c r="K42" i="2" s="1"/>
  <c r="W41" i="2"/>
  <c r="U41" i="2"/>
  <c r="T41" i="2"/>
  <c r="S41" i="2"/>
  <c r="P41" i="2"/>
  <c r="M41" i="2"/>
  <c r="J41" i="2"/>
  <c r="H41" i="2"/>
  <c r="K41" i="2" s="1"/>
  <c r="W40" i="2"/>
  <c r="U40" i="2"/>
  <c r="T40" i="2"/>
  <c r="P40" i="2"/>
  <c r="M40" i="2"/>
  <c r="J40" i="2"/>
  <c r="H40" i="2"/>
  <c r="S40" i="2" s="1"/>
  <c r="W39" i="2"/>
  <c r="T39" i="2"/>
  <c r="P39" i="2"/>
  <c r="M39" i="2"/>
  <c r="J39" i="2"/>
  <c r="U39" i="2" s="1"/>
  <c r="H39" i="2"/>
  <c r="S39" i="2" s="1"/>
  <c r="W38" i="2"/>
  <c r="T38" i="2"/>
  <c r="P38" i="2"/>
  <c r="M38" i="2"/>
  <c r="J38" i="2"/>
  <c r="U38" i="2" s="1"/>
  <c r="H38" i="2"/>
  <c r="S38" i="2" s="1"/>
  <c r="W37" i="2"/>
  <c r="T37" i="2"/>
  <c r="S37" i="2"/>
  <c r="P37" i="2"/>
  <c r="M37" i="2"/>
  <c r="J37" i="2"/>
  <c r="K37" i="2" s="1"/>
  <c r="W36" i="2"/>
  <c r="T36" i="2"/>
  <c r="P36" i="2"/>
  <c r="M36" i="2"/>
  <c r="J36" i="2"/>
  <c r="U36" i="2" s="1"/>
  <c r="H36" i="2"/>
  <c r="K36" i="2" s="1"/>
  <c r="T35" i="2"/>
  <c r="P35" i="2"/>
  <c r="M35" i="2"/>
  <c r="U35" i="2"/>
  <c r="H35" i="2"/>
  <c r="S35" i="2" s="1"/>
  <c r="W34" i="2"/>
  <c r="T34" i="2"/>
  <c r="P34" i="2"/>
  <c r="M34" i="2"/>
  <c r="U34" i="2"/>
  <c r="W33" i="2"/>
  <c r="U33" i="2"/>
  <c r="T33" i="2"/>
  <c r="P33" i="2"/>
  <c r="M33" i="2"/>
  <c r="K33" i="2"/>
  <c r="U32" i="2"/>
  <c r="V32" i="2" s="1"/>
  <c r="T32" i="2"/>
  <c r="S32" i="2"/>
  <c r="P32" i="2"/>
  <c r="M32" i="2"/>
  <c r="K32" i="2"/>
  <c r="W31" i="2"/>
  <c r="T31" i="2"/>
  <c r="P31" i="2"/>
  <c r="M31" i="2"/>
  <c r="J31" i="2"/>
  <c r="U31" i="2" s="1"/>
  <c r="H31" i="2"/>
  <c r="S31" i="2" s="1"/>
  <c r="W30" i="2"/>
  <c r="T30" i="2"/>
  <c r="S30" i="2"/>
  <c r="P30" i="2"/>
  <c r="M30" i="2"/>
  <c r="J30" i="2"/>
  <c r="U30" i="2" s="1"/>
  <c r="H30" i="2"/>
  <c r="W29" i="2"/>
  <c r="T29" i="2"/>
  <c r="S29" i="2"/>
  <c r="P29" i="2"/>
  <c r="M29" i="2"/>
  <c r="J29" i="2"/>
  <c r="U29" i="2" s="1"/>
  <c r="H29" i="2"/>
  <c r="U28" i="2"/>
  <c r="T28" i="2"/>
  <c r="S28" i="2"/>
  <c r="P28" i="2"/>
  <c r="M28" i="2"/>
  <c r="K28" i="2"/>
  <c r="W27" i="2"/>
  <c r="T27" i="2"/>
  <c r="P27" i="2"/>
  <c r="M27" i="2"/>
  <c r="J27" i="2"/>
  <c r="U27" i="2" s="1"/>
  <c r="H27" i="2"/>
  <c r="S27" i="2" s="1"/>
  <c r="W26" i="2"/>
  <c r="T26" i="2"/>
  <c r="P26" i="2"/>
  <c r="M26" i="2"/>
  <c r="J26" i="2"/>
  <c r="U26" i="2" s="1"/>
  <c r="H26" i="2"/>
  <c r="K26" i="2" s="1"/>
  <c r="W25" i="2"/>
  <c r="T25" i="2"/>
  <c r="S25" i="2"/>
  <c r="P25" i="2"/>
  <c r="M25" i="2"/>
  <c r="J25" i="2"/>
  <c r="U25" i="2" s="1"/>
  <c r="H25" i="2"/>
  <c r="K25" i="2" s="1"/>
  <c r="W24" i="2"/>
  <c r="U24" i="2"/>
  <c r="T24" i="2"/>
  <c r="S24" i="2"/>
  <c r="P24" i="2"/>
  <c r="M24" i="2"/>
  <c r="J24" i="2"/>
  <c r="H24" i="2"/>
  <c r="K24" i="2" s="1"/>
  <c r="W23" i="2"/>
  <c r="U23" i="2"/>
  <c r="T23" i="2"/>
  <c r="P23" i="2"/>
  <c r="M23" i="2"/>
  <c r="J23" i="2"/>
  <c r="H23" i="2"/>
  <c r="S23" i="2" s="1"/>
  <c r="W22" i="2"/>
  <c r="T22" i="2"/>
  <c r="P22" i="2"/>
  <c r="M22" i="2"/>
  <c r="J22" i="2"/>
  <c r="U22" i="2" s="1"/>
  <c r="H22" i="2"/>
  <c r="S22" i="2" s="1"/>
  <c r="T21" i="2"/>
  <c r="P21" i="2"/>
  <c r="M21" i="2"/>
  <c r="J21" i="2"/>
  <c r="H21" i="2"/>
  <c r="S21" i="2" s="1"/>
  <c r="W20" i="2"/>
  <c r="T20" i="2"/>
  <c r="P20" i="2"/>
  <c r="M20" i="2"/>
  <c r="J20" i="2"/>
  <c r="U20" i="2" s="1"/>
  <c r="H20" i="2"/>
  <c r="K20" i="2" s="1"/>
  <c r="W19" i="2"/>
  <c r="T19" i="2"/>
  <c r="P19" i="2"/>
  <c r="M19" i="2"/>
  <c r="J19" i="2"/>
  <c r="U19" i="2" s="1"/>
  <c r="H19" i="2"/>
  <c r="S19" i="2" s="1"/>
  <c r="W18" i="2"/>
  <c r="T18" i="2"/>
  <c r="S18" i="2"/>
  <c r="P18" i="2"/>
  <c r="M18" i="2"/>
  <c r="J18" i="2"/>
  <c r="U18" i="2" s="1"/>
  <c r="H18" i="2"/>
  <c r="W17" i="2"/>
  <c r="T17" i="2"/>
  <c r="P17" i="2"/>
  <c r="M17" i="2"/>
  <c r="J17" i="2"/>
  <c r="U17" i="2" s="1"/>
  <c r="H17" i="2"/>
  <c r="W16" i="2"/>
  <c r="T16" i="2"/>
  <c r="S16" i="2"/>
  <c r="P16" i="2"/>
  <c r="M16" i="2"/>
  <c r="J16" i="2"/>
  <c r="U16" i="2" s="1"/>
  <c r="H16" i="2"/>
  <c r="W15" i="2"/>
  <c r="T15" i="2"/>
  <c r="S15" i="2"/>
  <c r="P15" i="2"/>
  <c r="M15" i="2"/>
  <c r="J15" i="2"/>
  <c r="K15" i="2" s="1"/>
  <c r="S12" i="2"/>
  <c r="S11" i="2"/>
  <c r="U6" i="2"/>
  <c r="T6" i="2"/>
  <c r="N6" i="2"/>
  <c r="V5" i="2"/>
  <c r="W4" i="2"/>
  <c r="W5" i="2" s="1"/>
  <c r="W3" i="2"/>
  <c r="V3" i="2"/>
  <c r="U68" i="1"/>
  <c r="U69" i="1"/>
  <c r="W55" i="1"/>
  <c r="T55" i="1"/>
  <c r="S55" i="1"/>
  <c r="P55" i="1"/>
  <c r="M55" i="1"/>
  <c r="K55" i="1"/>
  <c r="U55" i="1"/>
  <c r="V55" i="1" s="1"/>
  <c r="W54" i="1"/>
  <c r="T54" i="1"/>
  <c r="S54" i="1"/>
  <c r="P54" i="1"/>
  <c r="M54" i="1"/>
  <c r="U54" i="1"/>
  <c r="W77" i="1"/>
  <c r="U77" i="1"/>
  <c r="T77" i="1"/>
  <c r="S77" i="1"/>
  <c r="P77" i="1"/>
  <c r="M77" i="1"/>
  <c r="K68" i="1"/>
  <c r="K69" i="1"/>
  <c r="J74" i="1"/>
  <c r="U74" i="1" s="1"/>
  <c r="J75" i="1"/>
  <c r="U75" i="1" s="1"/>
  <c r="J76" i="1"/>
  <c r="H75" i="1"/>
  <c r="S75" i="1" s="1"/>
  <c r="H74" i="1"/>
  <c r="S74" i="1" s="1"/>
  <c r="H73" i="1"/>
  <c r="W69" i="1"/>
  <c r="T69" i="1"/>
  <c r="S69" i="1"/>
  <c r="M69" i="1"/>
  <c r="W71" i="1"/>
  <c r="T71" i="1"/>
  <c r="S71" i="1"/>
  <c r="M71" i="1"/>
  <c r="J71" i="1"/>
  <c r="K71" i="1" s="1"/>
  <c r="W68" i="1"/>
  <c r="T68" i="1"/>
  <c r="S68" i="1"/>
  <c r="V68" i="1" s="1"/>
  <c r="M68" i="1"/>
  <c r="W65" i="1"/>
  <c r="T65" i="1"/>
  <c r="S65" i="1"/>
  <c r="M65" i="1"/>
  <c r="J65" i="1"/>
  <c r="K65" i="1" s="1"/>
  <c r="W74" i="1"/>
  <c r="T74" i="1"/>
  <c r="P74" i="1"/>
  <c r="M74" i="1"/>
  <c r="W66" i="1"/>
  <c r="T66" i="1"/>
  <c r="S66" i="1"/>
  <c r="M66" i="1"/>
  <c r="W67" i="1"/>
  <c r="U67" i="1"/>
  <c r="T67" i="1"/>
  <c r="S67" i="1"/>
  <c r="P67" i="1"/>
  <c r="M67" i="1"/>
  <c r="W46" i="1"/>
  <c r="T46" i="1"/>
  <c r="S46" i="1"/>
  <c r="M46" i="1"/>
  <c r="J72" i="1"/>
  <c r="U72" i="1" s="1"/>
  <c r="J42" i="1"/>
  <c r="K42" i="1" s="1"/>
  <c r="J41" i="1"/>
  <c r="H41" i="1"/>
  <c r="S41" i="1" s="1"/>
  <c r="H40" i="1"/>
  <c r="J40" i="1"/>
  <c r="J39" i="1"/>
  <c r="U39" i="1" s="1"/>
  <c r="J38" i="1"/>
  <c r="U38" i="1" s="1"/>
  <c r="J37" i="1"/>
  <c r="U37" i="1" s="1"/>
  <c r="J36" i="1"/>
  <c r="U36" i="1" s="1"/>
  <c r="T41" i="1"/>
  <c r="P41" i="1"/>
  <c r="M41" i="1"/>
  <c r="T42" i="1"/>
  <c r="S42" i="1"/>
  <c r="P42" i="1"/>
  <c r="M42" i="1"/>
  <c r="J45" i="1"/>
  <c r="K45" i="1" s="1"/>
  <c r="J44" i="1"/>
  <c r="K44" i="1" s="1"/>
  <c r="W47" i="1"/>
  <c r="U47" i="1"/>
  <c r="T47" i="1"/>
  <c r="S47" i="1"/>
  <c r="P47" i="1"/>
  <c r="M47" i="1"/>
  <c r="H38" i="1"/>
  <c r="S38" i="1" s="1"/>
  <c r="H36" i="1"/>
  <c r="T32" i="1"/>
  <c r="S32" i="1"/>
  <c r="P32" i="1"/>
  <c r="M32" i="1"/>
  <c r="U32" i="1"/>
  <c r="K32" i="1"/>
  <c r="T27" i="1"/>
  <c r="P27" i="1"/>
  <c r="M27" i="1"/>
  <c r="J27" i="1"/>
  <c r="U27" i="1" s="1"/>
  <c r="H27" i="1"/>
  <c r="S27" i="1" s="1"/>
  <c r="U257" i="1"/>
  <c r="U256" i="1"/>
  <c r="U255" i="1"/>
  <c r="U254" i="1"/>
  <c r="U253" i="1"/>
  <c r="U252" i="1"/>
  <c r="U251" i="1"/>
  <c r="U250" i="1"/>
  <c r="U249" i="1"/>
  <c r="U248" i="1"/>
  <c r="M247" i="1"/>
  <c r="U246" i="1"/>
  <c r="U245" i="1"/>
  <c r="U244" i="1"/>
  <c r="U243" i="1"/>
  <c r="U242" i="1"/>
  <c r="U241" i="1"/>
  <c r="U240" i="1"/>
  <c r="U239" i="1"/>
  <c r="U238" i="1"/>
  <c r="U237" i="1"/>
  <c r="M236" i="1"/>
  <c r="U235" i="1"/>
  <c r="U234" i="1"/>
  <c r="U233" i="1"/>
  <c r="U232" i="1"/>
  <c r="U231" i="1"/>
  <c r="U230" i="1"/>
  <c r="U229" i="1"/>
  <c r="U228" i="1"/>
  <c r="U227" i="1"/>
  <c r="U226" i="1"/>
  <c r="M225" i="1"/>
  <c r="U224" i="1"/>
  <c r="U223" i="1"/>
  <c r="U222" i="1"/>
  <c r="U221" i="1"/>
  <c r="U220" i="1"/>
  <c r="U219" i="1"/>
  <c r="U218" i="1"/>
  <c r="U217" i="1"/>
  <c r="U216" i="1"/>
  <c r="U215" i="1"/>
  <c r="M214" i="1"/>
  <c r="U213" i="1"/>
  <c r="U212" i="1"/>
  <c r="U211" i="1"/>
  <c r="U210" i="1"/>
  <c r="U209" i="1"/>
  <c r="U208" i="1"/>
  <c r="U207" i="1"/>
  <c r="U206" i="1"/>
  <c r="U205" i="1"/>
  <c r="U204" i="1"/>
  <c r="M203" i="1"/>
  <c r="U202" i="1"/>
  <c r="U201" i="1"/>
  <c r="U200" i="1"/>
  <c r="U199" i="1"/>
  <c r="U198" i="1"/>
  <c r="U197" i="1"/>
  <c r="U196" i="1"/>
  <c r="U195" i="1"/>
  <c r="U194" i="1"/>
  <c r="U193" i="1"/>
  <c r="M192" i="1"/>
  <c r="U191" i="1"/>
  <c r="U190" i="1"/>
  <c r="U189" i="1"/>
  <c r="U188" i="1"/>
  <c r="U187" i="1"/>
  <c r="U186" i="1"/>
  <c r="U185" i="1"/>
  <c r="U184" i="1"/>
  <c r="U183" i="1"/>
  <c r="U182" i="1"/>
  <c r="M181" i="1"/>
  <c r="U180" i="1"/>
  <c r="U179" i="1"/>
  <c r="U178" i="1"/>
  <c r="U177" i="1"/>
  <c r="U176" i="1"/>
  <c r="U175" i="1"/>
  <c r="U174" i="1"/>
  <c r="U173" i="1"/>
  <c r="U172" i="1"/>
  <c r="U171" i="1"/>
  <c r="M170" i="1"/>
  <c r="U169" i="1"/>
  <c r="U168" i="1"/>
  <c r="U167" i="1"/>
  <c r="U166" i="1"/>
  <c r="U165" i="1"/>
  <c r="U164" i="1"/>
  <c r="U163" i="1"/>
  <c r="U162" i="1"/>
  <c r="U161" i="1"/>
  <c r="U160" i="1"/>
  <c r="M159" i="1"/>
  <c r="U158" i="1"/>
  <c r="U157" i="1"/>
  <c r="U156" i="1"/>
  <c r="U155" i="1"/>
  <c r="U154" i="1"/>
  <c r="U153" i="1"/>
  <c r="U152" i="1"/>
  <c r="U151" i="1"/>
  <c r="U150" i="1"/>
  <c r="U149" i="1"/>
  <c r="M148" i="1"/>
  <c r="U147" i="1"/>
  <c r="U146" i="1"/>
  <c r="U145" i="1"/>
  <c r="U144" i="1"/>
  <c r="U143" i="1"/>
  <c r="U142" i="1"/>
  <c r="U141" i="1"/>
  <c r="U140" i="1"/>
  <c r="U139" i="1"/>
  <c r="U138" i="1"/>
  <c r="M137" i="1"/>
  <c r="U136" i="1"/>
  <c r="U135" i="1"/>
  <c r="U134" i="1"/>
  <c r="U133" i="1"/>
  <c r="U132" i="1"/>
  <c r="U131" i="1"/>
  <c r="U130" i="1"/>
  <c r="U129" i="1"/>
  <c r="U128" i="1"/>
  <c r="U127" i="1"/>
  <c r="M126" i="1"/>
  <c r="W76" i="1"/>
  <c r="T76" i="1"/>
  <c r="S76" i="1"/>
  <c r="V76" i="1" s="1"/>
  <c r="M76" i="1"/>
  <c r="W75" i="1"/>
  <c r="T75" i="1"/>
  <c r="M75" i="1"/>
  <c r="W70" i="1"/>
  <c r="T70" i="1"/>
  <c r="S70" i="1"/>
  <c r="M70" i="1"/>
  <c r="J70" i="1"/>
  <c r="K70" i="1" s="1"/>
  <c r="W73" i="1"/>
  <c r="T73" i="1"/>
  <c r="P73" i="1"/>
  <c r="M73" i="1"/>
  <c r="J73" i="1"/>
  <c r="S73" i="1"/>
  <c r="W72" i="1"/>
  <c r="T72" i="1"/>
  <c r="P72" i="1"/>
  <c r="M72" i="1"/>
  <c r="H72" i="1"/>
  <c r="S72" i="1" s="1"/>
  <c r="U64" i="1"/>
  <c r="T64" i="1"/>
  <c r="P64" i="1"/>
  <c r="M64" i="1"/>
  <c r="J64" i="1"/>
  <c r="H64" i="1"/>
  <c r="S64" i="1" s="1"/>
  <c r="T63" i="1"/>
  <c r="S63" i="1"/>
  <c r="P63" i="1"/>
  <c r="M63" i="1"/>
  <c r="J63" i="1"/>
  <c r="K63" i="1" s="1"/>
  <c r="W62" i="1"/>
  <c r="U62" i="1"/>
  <c r="T62" i="1"/>
  <c r="S62" i="1"/>
  <c r="P62" i="1"/>
  <c r="M62" i="1"/>
  <c r="K62" i="1"/>
  <c r="W61" i="1"/>
  <c r="U61" i="1"/>
  <c r="T61" i="1"/>
  <c r="S61" i="1"/>
  <c r="P61" i="1"/>
  <c r="M61" i="1"/>
  <c r="K61" i="1"/>
  <c r="W60" i="1"/>
  <c r="T60" i="1"/>
  <c r="S60" i="1"/>
  <c r="P60" i="1"/>
  <c r="M60" i="1"/>
  <c r="W59" i="1"/>
  <c r="T59" i="1"/>
  <c r="P59" i="1"/>
  <c r="M59" i="1"/>
  <c r="J59" i="1"/>
  <c r="U59" i="1" s="1"/>
  <c r="H59" i="1"/>
  <c r="S59" i="1" s="1"/>
  <c r="W58" i="1"/>
  <c r="T58" i="1"/>
  <c r="S58" i="1"/>
  <c r="P58" i="1"/>
  <c r="M58" i="1"/>
  <c r="J58" i="1"/>
  <c r="K58" i="1" s="1"/>
  <c r="T45" i="1"/>
  <c r="S45" i="1"/>
  <c r="P45" i="1"/>
  <c r="M45" i="1"/>
  <c r="W44" i="1"/>
  <c r="T44" i="1"/>
  <c r="S44" i="1"/>
  <c r="P44" i="1"/>
  <c r="M44" i="1"/>
  <c r="W43" i="1"/>
  <c r="T43" i="1"/>
  <c r="S43" i="1"/>
  <c r="P43" i="1"/>
  <c r="M43" i="1"/>
  <c r="J43" i="1"/>
  <c r="K43" i="1" s="1"/>
  <c r="W57" i="1"/>
  <c r="T57" i="1"/>
  <c r="S57" i="1"/>
  <c r="P57" i="1"/>
  <c r="M57" i="1"/>
  <c r="J57" i="1"/>
  <c r="K57" i="1" s="1"/>
  <c r="W56" i="1"/>
  <c r="T56" i="1"/>
  <c r="S56" i="1"/>
  <c r="P56" i="1"/>
  <c r="M56" i="1"/>
  <c r="J56" i="1"/>
  <c r="U56" i="1" s="1"/>
  <c r="W53" i="1"/>
  <c r="T53" i="1"/>
  <c r="S53" i="1"/>
  <c r="P53" i="1"/>
  <c r="M53" i="1"/>
  <c r="K53" i="1"/>
  <c r="U52" i="1"/>
  <c r="T52" i="1"/>
  <c r="P52" i="1"/>
  <c r="M52" i="1"/>
  <c r="H52" i="1"/>
  <c r="S52" i="1" s="1"/>
  <c r="W50" i="1"/>
  <c r="T50" i="1"/>
  <c r="P50" i="1"/>
  <c r="M50" i="1"/>
  <c r="W49" i="1"/>
  <c r="T49" i="1"/>
  <c r="S49" i="1"/>
  <c r="P49" i="1"/>
  <c r="M49" i="1"/>
  <c r="J49" i="1"/>
  <c r="K49" i="1" s="1"/>
  <c r="W48" i="1"/>
  <c r="U48" i="1"/>
  <c r="T48" i="1"/>
  <c r="S48" i="1"/>
  <c r="P48" i="1"/>
  <c r="M48" i="1"/>
  <c r="K48" i="1"/>
  <c r="T35" i="1"/>
  <c r="P35" i="1"/>
  <c r="M35" i="1"/>
  <c r="J35" i="1"/>
  <c r="U35" i="1" s="1"/>
  <c r="H35" i="1"/>
  <c r="S35" i="1" s="1"/>
  <c r="W34" i="1"/>
  <c r="T34" i="1"/>
  <c r="P34" i="1"/>
  <c r="M34" i="1"/>
  <c r="J34" i="1"/>
  <c r="U34" i="1" s="1"/>
  <c r="W33" i="1"/>
  <c r="T33" i="1"/>
  <c r="P33" i="1"/>
  <c r="M33" i="1"/>
  <c r="J33" i="1"/>
  <c r="U33" i="1" s="1"/>
  <c r="H33" i="1"/>
  <c r="S33" i="1" s="1"/>
  <c r="T40" i="1"/>
  <c r="P40" i="1"/>
  <c r="M40" i="1"/>
  <c r="W39" i="1"/>
  <c r="T39" i="1"/>
  <c r="P39" i="1"/>
  <c r="M39" i="1"/>
  <c r="H39" i="1"/>
  <c r="S39" i="1" s="1"/>
  <c r="W38" i="1"/>
  <c r="T38" i="1"/>
  <c r="P38" i="1"/>
  <c r="M38" i="1"/>
  <c r="W37" i="1"/>
  <c r="T37" i="1"/>
  <c r="S37" i="1"/>
  <c r="P37" i="1"/>
  <c r="M37" i="1"/>
  <c r="W36" i="1"/>
  <c r="T36" i="1"/>
  <c r="P36" i="1"/>
  <c r="M36" i="1"/>
  <c r="T31" i="1"/>
  <c r="P31" i="1"/>
  <c r="M31" i="1"/>
  <c r="J31" i="1"/>
  <c r="U31" i="1" s="1"/>
  <c r="H31" i="1"/>
  <c r="S31" i="1" s="1"/>
  <c r="W30" i="1"/>
  <c r="T30" i="1"/>
  <c r="P30" i="1"/>
  <c r="M30" i="1"/>
  <c r="J30" i="1"/>
  <c r="U30" i="1" s="1"/>
  <c r="H30" i="1"/>
  <c r="S30" i="1" s="1"/>
  <c r="W29" i="1"/>
  <c r="T29" i="1"/>
  <c r="P29" i="1"/>
  <c r="M29" i="1"/>
  <c r="J29" i="1"/>
  <c r="U29" i="1" s="1"/>
  <c r="H29" i="1"/>
  <c r="S29" i="1" s="1"/>
  <c r="T28" i="1"/>
  <c r="P28" i="1"/>
  <c r="M28" i="1"/>
  <c r="S28" i="1"/>
  <c r="W26" i="1"/>
  <c r="T26" i="1"/>
  <c r="P26" i="1"/>
  <c r="M26" i="1"/>
  <c r="J26" i="1"/>
  <c r="U26" i="1" s="1"/>
  <c r="H26" i="1"/>
  <c r="S26" i="1" s="1"/>
  <c r="W25" i="1"/>
  <c r="T25" i="1"/>
  <c r="P25" i="1"/>
  <c r="M25" i="1"/>
  <c r="J25" i="1"/>
  <c r="U25" i="1" s="1"/>
  <c r="H25" i="1"/>
  <c r="S25" i="1" s="1"/>
  <c r="W24" i="1"/>
  <c r="T24" i="1"/>
  <c r="P24" i="1"/>
  <c r="M24" i="1"/>
  <c r="J24" i="1"/>
  <c r="U24" i="1" s="1"/>
  <c r="H24" i="1"/>
  <c r="W23" i="1"/>
  <c r="T23" i="1"/>
  <c r="P23" i="1"/>
  <c r="M23" i="1"/>
  <c r="J23" i="1"/>
  <c r="H23" i="1"/>
  <c r="S23" i="1" s="1"/>
  <c r="W22" i="1"/>
  <c r="T22" i="1"/>
  <c r="P22" i="1"/>
  <c r="M22" i="1"/>
  <c r="J22" i="1"/>
  <c r="U22" i="1" s="1"/>
  <c r="H22" i="1"/>
  <c r="S22" i="1" s="1"/>
  <c r="T21" i="1"/>
  <c r="P21" i="1"/>
  <c r="M21" i="1"/>
  <c r="J21" i="1"/>
  <c r="U21" i="1" s="1"/>
  <c r="H21" i="1"/>
  <c r="W20" i="1"/>
  <c r="T20" i="1"/>
  <c r="P20" i="1"/>
  <c r="M20" i="1"/>
  <c r="J20" i="1"/>
  <c r="U20" i="1" s="1"/>
  <c r="H20" i="1"/>
  <c r="W19" i="1"/>
  <c r="T19" i="1"/>
  <c r="P19" i="1"/>
  <c r="M19" i="1"/>
  <c r="J19" i="1"/>
  <c r="U19" i="1" s="1"/>
  <c r="H19" i="1"/>
  <c r="S19" i="1" s="1"/>
  <c r="W18" i="1"/>
  <c r="T18" i="1"/>
  <c r="P18" i="1"/>
  <c r="M18" i="1"/>
  <c r="J18" i="1"/>
  <c r="U18" i="1" s="1"/>
  <c r="H18" i="1"/>
  <c r="S18" i="1" s="1"/>
  <c r="W17" i="1"/>
  <c r="T17" i="1"/>
  <c r="P17" i="1"/>
  <c r="M17" i="1"/>
  <c r="J17" i="1"/>
  <c r="U17" i="1" s="1"/>
  <c r="H17" i="1"/>
  <c r="S17" i="1" s="1"/>
  <c r="W16" i="1"/>
  <c r="T16" i="1"/>
  <c r="P16" i="1"/>
  <c r="M16" i="1"/>
  <c r="J16" i="1"/>
  <c r="U16" i="1" s="1"/>
  <c r="H16" i="1"/>
  <c r="W15" i="1"/>
  <c r="T15" i="1"/>
  <c r="S15" i="1"/>
  <c r="P15" i="1"/>
  <c r="M15" i="1"/>
  <c r="J15" i="1"/>
  <c r="K15" i="1" s="1"/>
  <c r="S12" i="1"/>
  <c r="S11" i="1"/>
  <c r="U6" i="1"/>
  <c r="T6" i="1"/>
  <c r="N6" i="1"/>
  <c r="V5" i="1"/>
  <c r="W4" i="1"/>
  <c r="W5" i="1" s="1"/>
  <c r="W3" i="1"/>
  <c r="V3" i="1"/>
  <c r="V68" i="2" l="1"/>
  <c r="V24" i="2"/>
  <c r="V25" i="2"/>
  <c r="V55" i="2"/>
  <c r="V54" i="2"/>
  <c r="V48" i="2"/>
  <c r="V53" i="2"/>
  <c r="V38" i="2"/>
  <c r="V28" i="4"/>
  <c r="V50" i="4"/>
  <c r="V43" i="4"/>
  <c r="V32" i="4"/>
  <c r="V28" i="5"/>
  <c r="K57" i="3"/>
  <c r="V70" i="3"/>
  <c r="K71" i="3"/>
  <c r="K24" i="3"/>
  <c r="V41" i="3"/>
  <c r="K38" i="3"/>
  <c r="U58" i="3"/>
  <c r="U15" i="3"/>
  <c r="V15" i="3" s="1"/>
  <c r="K19" i="3"/>
  <c r="V30" i="3"/>
  <c r="U44" i="3"/>
  <c r="V44" i="3" s="1"/>
  <c r="W45" i="3" s="1"/>
  <c r="V68" i="3"/>
  <c r="K22" i="4"/>
  <c r="V56" i="4"/>
  <c r="V19" i="4"/>
  <c r="U57" i="4"/>
  <c r="V57" i="4" s="1"/>
  <c r="K17" i="4"/>
  <c r="U55" i="4"/>
  <c r="V55" i="4" s="1"/>
  <c r="V60" i="2"/>
  <c r="K51" i="1"/>
  <c r="V69" i="1"/>
  <c r="S51" i="1"/>
  <c r="V51" i="1" s="1"/>
  <c r="K64" i="2"/>
  <c r="L64" i="2" s="1"/>
  <c r="W64" i="2" s="1"/>
  <c r="V28" i="2"/>
  <c r="U45" i="2"/>
  <c r="V45" i="2" s="1"/>
  <c r="K21" i="2"/>
  <c r="U15" i="2"/>
  <c r="V15" i="2" s="1"/>
  <c r="S52" i="2"/>
  <c r="V52" i="2" s="1"/>
  <c r="V73" i="2"/>
  <c r="S75" i="2"/>
  <c r="V75" i="2" s="1"/>
  <c r="V16" i="2"/>
  <c r="S36" i="2"/>
  <c r="V36" i="2" s="1"/>
  <c r="K16" i="2"/>
  <c r="K17" i="2"/>
  <c r="S20" i="2"/>
  <c r="V20" i="2" s="1"/>
  <c r="U37" i="2"/>
  <c r="V37" i="2" s="1"/>
  <c r="V62" i="2"/>
  <c r="K72" i="2"/>
  <c r="V61" i="2"/>
  <c r="V69" i="2"/>
  <c r="K74" i="5"/>
  <c r="V22" i="5"/>
  <c r="V44" i="5"/>
  <c r="V16" i="5"/>
  <c r="V35" i="5"/>
  <c r="K17" i="5"/>
  <c r="K25" i="5"/>
  <c r="K26" i="5"/>
  <c r="U59" i="5"/>
  <c r="V60" i="5"/>
  <c r="U15" i="5"/>
  <c r="V15" i="5" s="1"/>
  <c r="V68" i="5"/>
  <c r="K20" i="5"/>
  <c r="V67" i="5"/>
  <c r="K21" i="5"/>
  <c r="K22" i="5"/>
  <c r="K23" i="5"/>
  <c r="V24" i="5"/>
  <c r="U26" i="5"/>
  <c r="V26" i="5" s="1"/>
  <c r="K58" i="5"/>
  <c r="U69" i="5"/>
  <c r="V69" i="5" s="1"/>
  <c r="V71" i="5"/>
  <c r="V74" i="5"/>
  <c r="V48" i="5"/>
  <c r="V17" i="5"/>
  <c r="V27" i="5"/>
  <c r="U37" i="5"/>
  <c r="V37" i="5" s="1"/>
  <c r="S40" i="5"/>
  <c r="V40" i="5" s="1"/>
  <c r="V42" i="5"/>
  <c r="V43" i="5"/>
  <c r="V54" i="5"/>
  <c r="V73" i="5"/>
  <c r="V30" i="5"/>
  <c r="K31" i="5"/>
  <c r="V38" i="5"/>
  <c r="U55" i="5"/>
  <c r="V55" i="5" s="1"/>
  <c r="V58" i="5"/>
  <c r="V59" i="5"/>
  <c r="V61" i="5"/>
  <c r="K36" i="5"/>
  <c r="K39" i="5"/>
  <c r="V49" i="5"/>
  <c r="U56" i="5"/>
  <c r="V56" i="5" s="1"/>
  <c r="U57" i="5"/>
  <c r="V57" i="5" s="1"/>
  <c r="K18" i="5"/>
  <c r="V19" i="5"/>
  <c r="V41" i="5"/>
  <c r="K63" i="5"/>
  <c r="L63" i="5" s="1"/>
  <c r="W63" i="5" s="1"/>
  <c r="V21" i="5"/>
  <c r="V29" i="5"/>
  <c r="V32" i="5"/>
  <c r="S52" i="5"/>
  <c r="V52" i="5" s="1"/>
  <c r="K52" i="5"/>
  <c r="L62" i="5" s="1"/>
  <c r="W62" i="5" s="1"/>
  <c r="K48" i="5"/>
  <c r="S51" i="5"/>
  <c r="V51" i="5" s="1"/>
  <c r="K50" i="4"/>
  <c r="V27" i="4"/>
  <c r="V73" i="4"/>
  <c r="K37" i="4"/>
  <c r="V38" i="4"/>
  <c r="V54" i="4"/>
  <c r="K74" i="4"/>
  <c r="K23" i="4"/>
  <c r="K29" i="4"/>
  <c r="V24" i="4"/>
  <c r="K40" i="4"/>
  <c r="V22" i="4"/>
  <c r="V30" i="4"/>
  <c r="K31" i="4"/>
  <c r="U58" i="4"/>
  <c r="V58" i="4" s="1"/>
  <c r="U59" i="4"/>
  <c r="V59" i="4" s="1"/>
  <c r="K63" i="4"/>
  <c r="L63" i="4" s="1"/>
  <c r="W63" i="4" s="1"/>
  <c r="K34" i="4"/>
  <c r="V48" i="4"/>
  <c r="V21" i="4"/>
  <c r="V44" i="4"/>
  <c r="V37" i="4"/>
  <c r="V41" i="4"/>
  <c r="L62" i="4"/>
  <c r="W62" i="4" s="1"/>
  <c r="V68" i="4"/>
  <c r="V15" i="4"/>
  <c r="K56" i="4"/>
  <c r="V67" i="4"/>
  <c r="K26" i="4"/>
  <c r="V17" i="4"/>
  <c r="V71" i="4"/>
  <c r="K72" i="4"/>
  <c r="V74" i="4"/>
  <c r="K48" i="4"/>
  <c r="K51" i="4"/>
  <c r="S40" i="4"/>
  <c r="K39" i="4"/>
  <c r="K36" i="4"/>
  <c r="S35" i="4"/>
  <c r="V16" i="4"/>
  <c r="V33" i="5"/>
  <c r="V33" i="4"/>
  <c r="V33" i="3"/>
  <c r="V19" i="2"/>
  <c r="V40" i="2"/>
  <c r="V29" i="2"/>
  <c r="K56" i="2"/>
  <c r="V23" i="2"/>
  <c r="V39" i="2"/>
  <c r="V57" i="2"/>
  <c r="U71" i="2"/>
  <c r="V71" i="2" s="1"/>
  <c r="V35" i="2"/>
  <c r="V27" i="2"/>
  <c r="U72" i="2"/>
  <c r="V72" i="2" s="1"/>
  <c r="V74" i="2"/>
  <c r="K29" i="2"/>
  <c r="V41" i="2"/>
  <c r="V42" i="2"/>
  <c r="V59" i="2"/>
  <c r="V31" i="2"/>
  <c r="K38" i="2"/>
  <c r="L42" i="2" s="1"/>
  <c r="U70" i="2"/>
  <c r="V70" i="2" s="1"/>
  <c r="V33" i="2"/>
  <c r="V70" i="5"/>
  <c r="V20" i="5"/>
  <c r="V64" i="5"/>
  <c r="K16" i="5"/>
  <c r="L21" i="5" s="1"/>
  <c r="W21" i="5" s="1"/>
  <c r="K35" i="5"/>
  <c r="K44" i="5"/>
  <c r="L45" i="5" s="1"/>
  <c r="K51" i="5"/>
  <c r="U62" i="5"/>
  <c r="V62" i="5" s="1"/>
  <c r="K64" i="5"/>
  <c r="K70" i="5"/>
  <c r="K73" i="5"/>
  <c r="K19" i="5"/>
  <c r="K24" i="5"/>
  <c r="S31" i="5"/>
  <c r="V31" i="5" s="1"/>
  <c r="S34" i="5"/>
  <c r="V34" i="5" s="1"/>
  <c r="K38" i="5"/>
  <c r="U45" i="5"/>
  <c r="V45" i="5" s="1"/>
  <c r="S72" i="5"/>
  <c r="V72" i="5" s="1"/>
  <c r="S18" i="5"/>
  <c r="V18" i="5" s="1"/>
  <c r="U20" i="5"/>
  <c r="S23" i="5"/>
  <c r="V23" i="5" s="1"/>
  <c r="U25" i="5"/>
  <c r="V25" i="5" s="1"/>
  <c r="K27" i="5"/>
  <c r="K30" i="5"/>
  <c r="K33" i="5"/>
  <c r="L35" i="5" s="1"/>
  <c r="U36" i="5"/>
  <c r="V36" i="5" s="1"/>
  <c r="U39" i="5"/>
  <c r="V39" i="5" s="1"/>
  <c r="K41" i="5"/>
  <c r="S63" i="5"/>
  <c r="V63" i="5" s="1"/>
  <c r="K71" i="5"/>
  <c r="K42" i="5"/>
  <c r="V42" i="4"/>
  <c r="V40" i="4"/>
  <c r="V26" i="4"/>
  <c r="V29" i="4"/>
  <c r="U35" i="4"/>
  <c r="V35" i="4" s="1"/>
  <c r="U62" i="4"/>
  <c r="V62" i="4" s="1"/>
  <c r="K19" i="4"/>
  <c r="K24" i="4"/>
  <c r="S31" i="4"/>
  <c r="V31" i="4" s="1"/>
  <c r="S34" i="4"/>
  <c r="V34" i="4" s="1"/>
  <c r="K38" i="4"/>
  <c r="U45" i="4"/>
  <c r="V45" i="4" s="1"/>
  <c r="S49" i="4"/>
  <c r="V49" i="4" s="1"/>
  <c r="S72" i="4"/>
  <c r="V72" i="4" s="1"/>
  <c r="S18" i="4"/>
  <c r="V18" i="4" s="1"/>
  <c r="U20" i="4"/>
  <c r="V20" i="4" s="1"/>
  <c r="S23" i="4"/>
  <c r="V23" i="4" s="1"/>
  <c r="U25" i="4"/>
  <c r="V25" i="4" s="1"/>
  <c r="K27" i="4"/>
  <c r="K30" i="4"/>
  <c r="K33" i="4"/>
  <c r="U36" i="4"/>
  <c r="V36" i="4" s="1"/>
  <c r="U39" i="4"/>
  <c r="V39" i="4" s="1"/>
  <c r="K41" i="4"/>
  <c r="S63" i="4"/>
  <c r="V63" i="4" s="1"/>
  <c r="K71" i="4"/>
  <c r="K16" i="4"/>
  <c r="K42" i="4"/>
  <c r="U64" i="4"/>
  <c r="V64" i="4" s="1"/>
  <c r="U70" i="4"/>
  <c r="V70" i="4" s="1"/>
  <c r="K44" i="4"/>
  <c r="L45" i="4" s="1"/>
  <c r="K73" i="4"/>
  <c r="K50" i="2"/>
  <c r="S50" i="2"/>
  <c r="V50" i="2" s="1"/>
  <c r="V49" i="2"/>
  <c r="V48" i="3"/>
  <c r="V63" i="2"/>
  <c r="V61" i="3"/>
  <c r="V59" i="3"/>
  <c r="V56" i="3"/>
  <c r="V53" i="3"/>
  <c r="V52" i="3"/>
  <c r="V51" i="3"/>
  <c r="K21" i="3"/>
  <c r="K30" i="3"/>
  <c r="V31" i="3"/>
  <c r="K40" i="3"/>
  <c r="V67" i="3"/>
  <c r="V71" i="3"/>
  <c r="K33" i="3"/>
  <c r="S34" i="3"/>
  <c r="V34" i="3" s="1"/>
  <c r="K35" i="3"/>
  <c r="K41" i="3"/>
  <c r="K45" i="3"/>
  <c r="L45" i="3" s="1"/>
  <c r="K48" i="3"/>
  <c r="V66" i="3"/>
  <c r="K29" i="3"/>
  <c r="V36" i="3"/>
  <c r="V39" i="3"/>
  <c r="V16" i="3"/>
  <c r="V23" i="3"/>
  <c r="S18" i="3"/>
  <c r="V18" i="3" s="1"/>
  <c r="V27" i="3"/>
  <c r="S57" i="3"/>
  <c r="V57" i="3" s="1"/>
  <c r="V32" i="3"/>
  <c r="V37" i="3"/>
  <c r="V58" i="3"/>
  <c r="V73" i="3"/>
  <c r="H50" i="3"/>
  <c r="S50" i="3" s="1"/>
  <c r="V20" i="3"/>
  <c r="V17" i="3"/>
  <c r="K27" i="3"/>
  <c r="K16" i="3"/>
  <c r="K23" i="3"/>
  <c r="V25" i="3"/>
  <c r="V28" i="3"/>
  <c r="V60" i="3"/>
  <c r="V72" i="3"/>
  <c r="V49" i="3"/>
  <c r="V69" i="3"/>
  <c r="V63" i="3"/>
  <c r="U42" i="3"/>
  <c r="V42" i="3" s="1"/>
  <c r="K72" i="3"/>
  <c r="K20" i="3"/>
  <c r="K36" i="3"/>
  <c r="K39" i="3"/>
  <c r="K61" i="3"/>
  <c r="S19" i="3"/>
  <c r="V19" i="3" s="1"/>
  <c r="S24" i="3"/>
  <c r="V24" i="3" s="1"/>
  <c r="U26" i="3"/>
  <c r="V26" i="3" s="1"/>
  <c r="U29" i="3"/>
  <c r="V29" i="3" s="1"/>
  <c r="K31" i="3"/>
  <c r="S35" i="3"/>
  <c r="V35" i="3" s="1"/>
  <c r="S38" i="3"/>
  <c r="V38" i="3" s="1"/>
  <c r="U40" i="3"/>
  <c r="V40" i="3" s="1"/>
  <c r="U50" i="3"/>
  <c r="V50" i="3" s="1"/>
  <c r="U54" i="3"/>
  <c r="V54" i="3" s="1"/>
  <c r="S62" i="3"/>
  <c r="V62" i="3" s="1"/>
  <c r="K70" i="3"/>
  <c r="K17" i="3"/>
  <c r="L21" i="3" s="1"/>
  <c r="W21" i="3" s="1"/>
  <c r="K22" i="3"/>
  <c r="K56" i="3"/>
  <c r="U21" i="3"/>
  <c r="V21" i="3" s="1"/>
  <c r="K73" i="3"/>
  <c r="U55" i="3"/>
  <c r="V55" i="3" s="1"/>
  <c r="K63" i="3"/>
  <c r="K69" i="3"/>
  <c r="K25" i="3"/>
  <c r="V30" i="2"/>
  <c r="V56" i="2"/>
  <c r="L52" i="2"/>
  <c r="W52" i="2" s="1"/>
  <c r="V18" i="2"/>
  <c r="V22" i="2"/>
  <c r="K34" i="2"/>
  <c r="S34" i="2"/>
  <c r="V34" i="2" s="1"/>
  <c r="K30" i="2"/>
  <c r="K22" i="2"/>
  <c r="K35" i="2"/>
  <c r="L35" i="2" s="1"/>
  <c r="K39" i="2"/>
  <c r="K44" i="2"/>
  <c r="L45" i="2" s="1"/>
  <c r="K58" i="2"/>
  <c r="K73" i="2"/>
  <c r="K19" i="2"/>
  <c r="K31" i="2"/>
  <c r="K65" i="2"/>
  <c r="U21" i="2"/>
  <c r="V21" i="2" s="1"/>
  <c r="S26" i="2"/>
  <c r="V26" i="2" s="1"/>
  <c r="K18" i="2"/>
  <c r="K57" i="2"/>
  <c r="K23" i="2"/>
  <c r="K27" i="2"/>
  <c r="K59" i="2"/>
  <c r="U43" i="2"/>
  <c r="V43" i="2" s="1"/>
  <c r="W45" i="2" s="1"/>
  <c r="S17" i="2"/>
  <c r="V17" i="2" s="1"/>
  <c r="K40" i="2"/>
  <c r="K74" i="2"/>
  <c r="V75" i="1"/>
  <c r="V54" i="1"/>
  <c r="K54" i="1"/>
  <c r="K75" i="1"/>
  <c r="U71" i="1"/>
  <c r="V71" i="1" s="1"/>
  <c r="V25" i="1"/>
  <c r="K74" i="1"/>
  <c r="U65" i="1"/>
  <c r="V65" i="1" s="1"/>
  <c r="V74" i="1"/>
  <c r="K40" i="1"/>
  <c r="K41" i="1"/>
  <c r="L45" i="1"/>
  <c r="W45" i="1" s="1"/>
  <c r="V31" i="1"/>
  <c r="S40" i="1"/>
  <c r="U42" i="1"/>
  <c r="V42" i="1" s="1"/>
  <c r="U41" i="1"/>
  <c r="V41" i="1" s="1"/>
  <c r="K20" i="1"/>
  <c r="U45" i="1"/>
  <c r="V45" i="1" s="1"/>
  <c r="U44" i="1"/>
  <c r="V44" i="1" s="1"/>
  <c r="K21" i="1"/>
  <c r="V64" i="1"/>
  <c r="K16" i="1"/>
  <c r="K24" i="1"/>
  <c r="V32" i="1"/>
  <c r="V27" i="1"/>
  <c r="V56" i="1"/>
  <c r="V38" i="1"/>
  <c r="K27" i="1"/>
  <c r="K36" i="1"/>
  <c r="U70" i="1"/>
  <c r="V70" i="1" s="1"/>
  <c r="V48" i="1"/>
  <c r="K64" i="1"/>
  <c r="K50" i="1"/>
  <c r="S16" i="1"/>
  <c r="V16" i="1" s="1"/>
  <c r="V35" i="1"/>
  <c r="K23" i="1"/>
  <c r="U15" i="1"/>
  <c r="V15" i="1" s="1"/>
  <c r="V18" i="1"/>
  <c r="V30" i="1"/>
  <c r="U58" i="1"/>
  <c r="V58" i="1" s="1"/>
  <c r="V60" i="1"/>
  <c r="V62" i="1"/>
  <c r="K39" i="1"/>
  <c r="S24" i="1"/>
  <c r="V24" i="1" s="1"/>
  <c r="V37" i="1"/>
  <c r="V61" i="1"/>
  <c r="V29" i="1"/>
  <c r="K31" i="1"/>
  <c r="V33" i="1"/>
  <c r="K35" i="1"/>
  <c r="V26" i="1"/>
  <c r="K28" i="1"/>
  <c r="K33" i="1"/>
  <c r="V52" i="1"/>
  <c r="U63" i="1"/>
  <c r="V63" i="1" s="1"/>
  <c r="V22" i="1"/>
  <c r="K37" i="1"/>
  <c r="V19" i="1"/>
  <c r="H34" i="1"/>
  <c r="S34" i="1" s="1"/>
  <c r="V34" i="1" s="1"/>
  <c r="V17" i="1"/>
  <c r="K17" i="1"/>
  <c r="S20" i="1"/>
  <c r="V20" i="1" s="1"/>
  <c r="S21" i="1"/>
  <c r="V21" i="1" s="1"/>
  <c r="V39" i="1"/>
  <c r="V50" i="1"/>
  <c r="V72" i="1"/>
  <c r="K73" i="1"/>
  <c r="K56" i="1"/>
  <c r="K19" i="1"/>
  <c r="K29" i="1"/>
  <c r="S36" i="1"/>
  <c r="V36" i="1" s="1"/>
  <c r="U53" i="1"/>
  <c r="V53" i="1" s="1"/>
  <c r="V59" i="1"/>
  <c r="K25" i="1"/>
  <c r="K52" i="1"/>
  <c r="K59" i="1"/>
  <c r="K18" i="1"/>
  <c r="U23" i="1"/>
  <c r="V23" i="1" s="1"/>
  <c r="K30" i="1"/>
  <c r="K38" i="1"/>
  <c r="U57" i="1"/>
  <c r="V57" i="1" s="1"/>
  <c r="K60" i="1"/>
  <c r="U73" i="1"/>
  <c r="V73" i="1" s="1"/>
  <c r="K22" i="1"/>
  <c r="K26" i="1"/>
  <c r="U28" i="1"/>
  <c r="V28" i="1" s="1"/>
  <c r="U40" i="1"/>
  <c r="U49" i="1"/>
  <c r="V49" i="1" s="1"/>
  <c r="U43" i="1"/>
  <c r="V43" i="1" s="1"/>
  <c r="K72" i="1"/>
  <c r="V75" i="3" l="1"/>
  <c r="W32" i="3"/>
  <c r="W28" i="3"/>
  <c r="L32" i="3"/>
  <c r="K75" i="4"/>
  <c r="K76" i="4" s="1"/>
  <c r="L21" i="4"/>
  <c r="W21" i="4" s="1"/>
  <c r="L35" i="4"/>
  <c r="W45" i="4"/>
  <c r="V77" i="1"/>
  <c r="V66" i="2"/>
  <c r="V67" i="2" s="1"/>
  <c r="W42" i="2"/>
  <c r="W35" i="2"/>
  <c r="K76" i="2"/>
  <c r="K77" i="2" s="1"/>
  <c r="V77" i="2"/>
  <c r="W45" i="5"/>
  <c r="K50" i="5"/>
  <c r="K65" i="5" s="1"/>
  <c r="K66" i="5" s="1"/>
  <c r="S50" i="5"/>
  <c r="V50" i="5" s="1"/>
  <c r="L32" i="5"/>
  <c r="W42" i="5"/>
  <c r="V76" i="5"/>
  <c r="W28" i="5"/>
  <c r="W32" i="5"/>
  <c r="L42" i="5"/>
  <c r="L28" i="5"/>
  <c r="W35" i="5"/>
  <c r="V65" i="5"/>
  <c r="V66" i="5" s="1"/>
  <c r="L32" i="4"/>
  <c r="K65" i="4"/>
  <c r="K66" i="4" s="1"/>
  <c r="V76" i="4"/>
  <c r="S51" i="4"/>
  <c r="V51" i="4" s="1"/>
  <c r="V65" i="4" s="1"/>
  <c r="V66" i="4" s="1"/>
  <c r="L42" i="4"/>
  <c r="W28" i="4"/>
  <c r="L28" i="4"/>
  <c r="K46" i="5"/>
  <c r="K47" i="5" s="1"/>
  <c r="W35" i="4"/>
  <c r="W28" i="2"/>
  <c r="W32" i="2"/>
  <c r="L28" i="2"/>
  <c r="K46" i="2"/>
  <c r="K47" i="2" s="1"/>
  <c r="V46" i="5"/>
  <c r="V47" i="5" s="1"/>
  <c r="K75" i="5"/>
  <c r="K76" i="5" s="1"/>
  <c r="W42" i="4"/>
  <c r="V46" i="4"/>
  <c r="V47" i="4" s="1"/>
  <c r="K46" i="4"/>
  <c r="K47" i="4" s="1"/>
  <c r="W32" i="4"/>
  <c r="K34" i="3"/>
  <c r="L35" i="3" s="1"/>
  <c r="W35" i="3"/>
  <c r="K50" i="3"/>
  <c r="K64" i="3" s="1"/>
  <c r="K65" i="3" s="1"/>
  <c r="W42" i="3"/>
  <c r="L42" i="3"/>
  <c r="K74" i="3"/>
  <c r="K75" i="3" s="1"/>
  <c r="V64" i="3"/>
  <c r="V65" i="3" s="1"/>
  <c r="L61" i="3"/>
  <c r="W61" i="3" s="1"/>
  <c r="V46" i="3"/>
  <c r="V47" i="3" s="1"/>
  <c r="L28" i="3"/>
  <c r="L32" i="2"/>
  <c r="L21" i="2"/>
  <c r="W21" i="2" s="1"/>
  <c r="L63" i="2"/>
  <c r="W63" i="2" s="1"/>
  <c r="K66" i="2"/>
  <c r="K67" i="2" s="1"/>
  <c r="V46" i="2"/>
  <c r="V47" i="2" s="1"/>
  <c r="V66" i="1"/>
  <c r="V67" i="1" s="1"/>
  <c r="K76" i="1"/>
  <c r="K77" i="1" s="1"/>
  <c r="K66" i="1"/>
  <c r="K67" i="1" s="1"/>
  <c r="L52" i="1"/>
  <c r="W52" i="1" s="1"/>
  <c r="L42" i="1"/>
  <c r="W42" i="1" s="1"/>
  <c r="V40" i="1"/>
  <c r="W41" i="1"/>
  <c r="L32" i="1"/>
  <c r="W32" i="1" s="1"/>
  <c r="L64" i="1"/>
  <c r="W64" i="1" s="1"/>
  <c r="L28" i="1"/>
  <c r="W28" i="1" s="1"/>
  <c r="L63" i="1"/>
  <c r="W63" i="1" s="1"/>
  <c r="W27" i="1"/>
  <c r="W40" i="1"/>
  <c r="W31" i="1"/>
  <c r="K34" i="1"/>
  <c r="L35" i="1" s="1"/>
  <c r="W35" i="1" s="1"/>
  <c r="L21" i="1"/>
  <c r="W21" i="1" s="1"/>
  <c r="K77" i="4" l="1"/>
  <c r="L78" i="4" s="1"/>
  <c r="K79" i="4" s="1"/>
  <c r="K80" i="4" s="1"/>
  <c r="C11" i="4" s="1"/>
  <c r="V77" i="4"/>
  <c r="W78" i="4" s="1"/>
  <c r="V79" i="4" s="1"/>
  <c r="V80" i="4" s="1"/>
  <c r="N11" i="4" s="1"/>
  <c r="L1" i="4" s="1"/>
  <c r="K46" i="3"/>
  <c r="V78" i="2"/>
  <c r="W79" i="2" s="1"/>
  <c r="V80" i="2" s="1"/>
  <c r="V81" i="2" s="1"/>
  <c r="N11" i="2" s="1"/>
  <c r="L1" i="2" s="1"/>
  <c r="V77" i="5"/>
  <c r="W78" i="5" s="1"/>
  <c r="K77" i="5"/>
  <c r="L78" i="5" s="1"/>
  <c r="K47" i="3"/>
  <c r="K76" i="3" s="1"/>
  <c r="L77" i="3" s="1"/>
  <c r="K78" i="3" s="1"/>
  <c r="K79" i="3" s="1"/>
  <c r="C11" i="3" s="1"/>
  <c r="V76" i="3"/>
  <c r="W77" i="3" s="1"/>
  <c r="K78" i="2"/>
  <c r="L79" i="2" s="1"/>
  <c r="V46" i="1"/>
  <c r="V47" i="1" s="1"/>
  <c r="V78" i="1" s="1"/>
  <c r="W79" i="1" s="1"/>
  <c r="V80" i="1" s="1"/>
  <c r="V81" i="1" s="1"/>
  <c r="N11" i="1" s="1"/>
  <c r="L1" i="1" s="1"/>
  <c r="K46" i="1"/>
  <c r="K79" i="5" l="1"/>
  <c r="K80" i="5" s="1"/>
  <c r="C11" i="5" s="1"/>
  <c r="V79" i="5"/>
  <c r="V80" i="5" s="1"/>
  <c r="N11" i="5" s="1"/>
  <c r="V78" i="3"/>
  <c r="V79" i="3" s="1"/>
  <c r="N11" i="3" s="1"/>
  <c r="L1" i="3" s="1"/>
  <c r="K80" i="2"/>
  <c r="K81" i="2" s="1"/>
  <c r="C11" i="2" s="1"/>
  <c r="K47" i="1"/>
  <c r="K78" i="1" s="1"/>
  <c r="L79" i="1" l="1"/>
  <c r="K80" i="1" s="1"/>
  <c r="K81" i="1" s="1"/>
  <c r="C11" i="1" s="1"/>
</calcChain>
</file>

<file path=xl/sharedStrings.xml><?xml version="1.0" encoding="utf-8"?>
<sst xmlns="http://schemas.openxmlformats.org/spreadsheetml/2006/main" count="1295" uniqueCount="173">
  <si>
    <t>販売費=</t>
    <rPh sb="0" eb="3">
      <t>ハンバイヒ</t>
    </rPh>
    <phoneticPr fontId="1"/>
  </si>
  <si>
    <t>経費</t>
    <rPh sb="0" eb="2">
      <t>ケイヒ</t>
    </rPh>
    <phoneticPr fontId="1"/>
  </si>
  <si>
    <t>御中</t>
  </si>
  <si>
    <t>顧客番号</t>
    <rPh sb="0" eb="4">
      <t>コキャクバンゴウ</t>
    </rPh>
    <phoneticPr fontId="1"/>
  </si>
  <si>
    <t>会社名</t>
    <rPh sb="0" eb="3">
      <t>カイシャメイ</t>
    </rPh>
    <phoneticPr fontId="1"/>
  </si>
  <si>
    <t>担当者</t>
    <rPh sb="0" eb="3">
      <t>タントウシャ</t>
    </rPh>
    <phoneticPr fontId="6"/>
  </si>
  <si>
    <t>様</t>
    <rPh sb="0" eb="1">
      <t>サマ</t>
    </rPh>
    <phoneticPr fontId="1"/>
  </si>
  <si>
    <t>見積提出</t>
    <rPh sb="0" eb="2">
      <t>ミツモリ</t>
    </rPh>
    <rPh sb="2" eb="4">
      <t>テイシュツ</t>
    </rPh>
    <phoneticPr fontId="1"/>
  </si>
  <si>
    <t>発注日</t>
    <rPh sb="0" eb="3">
      <t>ハッチュウビ</t>
    </rPh>
    <phoneticPr fontId="1"/>
  </si>
  <si>
    <t>下記のとおり、御見積申し上げます。</t>
    <rPh sb="8" eb="10">
      <t>ミツモリ</t>
    </rPh>
    <phoneticPr fontId="6"/>
  </si>
  <si>
    <t>受注契約日</t>
    <rPh sb="0" eb="2">
      <t>ジュチュウ</t>
    </rPh>
    <rPh sb="2" eb="4">
      <t>ケイヤク</t>
    </rPh>
    <rPh sb="4" eb="5">
      <t>ビ</t>
    </rPh>
    <phoneticPr fontId="1"/>
  </si>
  <si>
    <t>下記のとおり、御注文申し上げます。</t>
    <rPh sb="8" eb="10">
      <t>チュウモン</t>
    </rPh>
    <phoneticPr fontId="6"/>
  </si>
  <si>
    <t>件  名</t>
  </si>
  <si>
    <t>支払期限</t>
  </si>
  <si>
    <t>工事完了後1週間以内</t>
    <rPh sb="0" eb="5">
      <t>コウジカンリョウゴ</t>
    </rPh>
    <rPh sb="6" eb="10">
      <t>シュウカンイナイ</t>
    </rPh>
    <phoneticPr fontId="6"/>
  </si>
  <si>
    <t>　T6040001123237</t>
    <phoneticPr fontId="1"/>
  </si>
  <si>
    <t>支払条件</t>
    <rPh sb="2" eb="4">
      <t>ジョウケン</t>
    </rPh>
    <phoneticPr fontId="1"/>
  </si>
  <si>
    <t>工事完了後元請入金確認後１週間以内振込支払いとする。</t>
    <rPh sb="0" eb="2">
      <t>コウジ</t>
    </rPh>
    <rPh sb="2" eb="4">
      <t>カンリョウ</t>
    </rPh>
    <rPh sb="4" eb="5">
      <t>ゴ</t>
    </rPh>
    <rPh sb="5" eb="7">
      <t>モトウケ</t>
    </rPh>
    <rPh sb="7" eb="9">
      <t>ニュウキン</t>
    </rPh>
    <rPh sb="9" eb="11">
      <t>カクニン</t>
    </rPh>
    <rPh sb="11" eb="12">
      <t>ゴ</t>
    </rPh>
    <rPh sb="13" eb="15">
      <t>シュウカン</t>
    </rPh>
    <rPh sb="15" eb="17">
      <t>イナイ</t>
    </rPh>
    <rPh sb="17" eb="19">
      <t>フリコミ</t>
    </rPh>
    <rPh sb="19" eb="21">
      <t>シハラ</t>
    </rPh>
    <phoneticPr fontId="6"/>
  </si>
  <si>
    <t xml:space="preserve">  注文者住所氏名</t>
    <rPh sb="2" eb="5">
      <t>チュウモンシャ</t>
    </rPh>
    <rPh sb="5" eb="7">
      <t>ジュウショ</t>
    </rPh>
    <rPh sb="7" eb="9">
      <t>シメイ</t>
    </rPh>
    <phoneticPr fontId="1"/>
  </si>
  <si>
    <t>振込先</t>
  </si>
  <si>
    <t>口座名義</t>
    <rPh sb="0" eb="2">
      <t>コウザ</t>
    </rPh>
    <rPh sb="2" eb="4">
      <t>メイギ</t>
    </rPh>
    <phoneticPr fontId="1"/>
  </si>
  <si>
    <t>普通　7084800　カ）ギジュツノモリ</t>
    <phoneticPr fontId="6"/>
  </si>
  <si>
    <t>口座番号</t>
    <rPh sb="0" eb="4">
      <t>コウザバンゴウ</t>
    </rPh>
    <phoneticPr fontId="1"/>
  </si>
  <si>
    <t>北日本銀行　本宮支店</t>
    <rPh sb="0" eb="3">
      <t>キタニホン</t>
    </rPh>
    <rPh sb="6" eb="8">
      <t>モトミヤ</t>
    </rPh>
    <phoneticPr fontId="6"/>
  </si>
  <si>
    <t>合計
金額</t>
    <phoneticPr fontId="6"/>
  </si>
  <si>
    <t>税込
金額</t>
    <rPh sb="3" eb="4">
      <t>キン</t>
    </rPh>
    <phoneticPr fontId="6"/>
  </si>
  <si>
    <t>番号</t>
    <rPh sb="0" eb="2">
      <t>バンゴウ</t>
    </rPh>
    <phoneticPr fontId="6"/>
  </si>
  <si>
    <t>項目</t>
    <rPh sb="0" eb="2">
      <t>コウモク</t>
    </rPh>
    <phoneticPr fontId="6"/>
  </si>
  <si>
    <t>数量</t>
  </si>
  <si>
    <t>単位</t>
  </si>
  <si>
    <t>単価</t>
  </si>
  <si>
    <t>金額</t>
  </si>
  <si>
    <t>備考</t>
  </si>
  <si>
    <t>１．金物関係費用</t>
    <rPh sb="2" eb="4">
      <t>カナモノ</t>
    </rPh>
    <rPh sb="4" eb="6">
      <t>カンケイ</t>
    </rPh>
    <rPh sb="6" eb="8">
      <t>ヒヨウ</t>
    </rPh>
    <phoneticPr fontId="1"/>
  </si>
  <si>
    <t>・単管パイプ2.5m</t>
    <phoneticPr fontId="1"/>
  </si>
  <si>
    <t>本</t>
    <rPh sb="0" eb="1">
      <t>ホン</t>
    </rPh>
    <phoneticPr fontId="1"/>
  </si>
  <si>
    <t>・タルキ止めクランプ</t>
    <phoneticPr fontId="1"/>
  </si>
  <si>
    <t>個</t>
    <rPh sb="0" eb="1">
      <t>コ</t>
    </rPh>
    <phoneticPr fontId="1"/>
  </si>
  <si>
    <t>・ジャッキベース</t>
    <phoneticPr fontId="1"/>
  </si>
  <si>
    <t>・ジャッキベース用カバー</t>
    <rPh sb="8" eb="9">
      <t>ヨウ</t>
    </rPh>
    <phoneticPr fontId="1"/>
  </si>
  <si>
    <t>枚</t>
    <rPh sb="0" eb="1">
      <t>マイ</t>
    </rPh>
    <phoneticPr fontId="1"/>
  </si>
  <si>
    <t>・大型丁番＋ステンレス長ビス</t>
    <rPh sb="1" eb="3">
      <t>オオガタ</t>
    </rPh>
    <rPh sb="3" eb="5">
      <t>チョウバン</t>
    </rPh>
    <rPh sb="11" eb="12">
      <t>ナガ</t>
    </rPh>
    <phoneticPr fontId="1"/>
  </si>
  <si>
    <t>・床用補強金物</t>
    <rPh sb="1" eb="2">
      <t>ユカ</t>
    </rPh>
    <rPh sb="2" eb="3">
      <t>ヨウ</t>
    </rPh>
    <rPh sb="3" eb="5">
      <t>ホキョウ</t>
    </rPh>
    <rPh sb="5" eb="7">
      <t>カナモノ</t>
    </rPh>
    <phoneticPr fontId="1"/>
  </si>
  <si>
    <t>・その他の金物</t>
    <rPh sb="3" eb="4">
      <t>タ</t>
    </rPh>
    <rPh sb="5" eb="7">
      <t>カナモノ</t>
    </rPh>
    <phoneticPr fontId="1"/>
  </si>
  <si>
    <t>・204材L=6f</t>
    <rPh sb="4" eb="5">
      <t>ザイ</t>
    </rPh>
    <phoneticPr fontId="1"/>
  </si>
  <si>
    <t>床天井根太</t>
    <rPh sb="0" eb="1">
      <t>ユカ</t>
    </rPh>
    <rPh sb="1" eb="3">
      <t>テンジョウ</t>
    </rPh>
    <rPh sb="3" eb="5">
      <t>ネダ</t>
    </rPh>
    <phoneticPr fontId="1"/>
  </si>
  <si>
    <t>・204材L=8f</t>
    <rPh sb="4" eb="5">
      <t>ザイ</t>
    </rPh>
    <phoneticPr fontId="1"/>
  </si>
  <si>
    <t>壁用</t>
    <rPh sb="0" eb="2">
      <t>カベヨウ</t>
    </rPh>
    <phoneticPr fontId="1"/>
  </si>
  <si>
    <t>・204材L=12f</t>
    <rPh sb="4" eb="5">
      <t>ザイ</t>
    </rPh>
    <phoneticPr fontId="1"/>
  </si>
  <si>
    <t>上下枠根太破風</t>
    <rPh sb="0" eb="3">
      <t>ジョウゲワク</t>
    </rPh>
    <rPh sb="3" eb="5">
      <t>ネダ</t>
    </rPh>
    <rPh sb="5" eb="7">
      <t>ハフ</t>
    </rPh>
    <phoneticPr fontId="1"/>
  </si>
  <si>
    <t>・204材L=16f</t>
    <rPh sb="4" eb="5">
      <t>ザイ</t>
    </rPh>
    <phoneticPr fontId="1"/>
  </si>
  <si>
    <t>同上</t>
    <rPh sb="0" eb="2">
      <t>ドウジョウ</t>
    </rPh>
    <phoneticPr fontId="1"/>
  </si>
  <si>
    <t>屋根タルキ</t>
    <rPh sb="0" eb="2">
      <t>ヤネ</t>
    </rPh>
    <phoneticPr fontId="1"/>
  </si>
  <si>
    <t>・104材柱パイプ囲み用</t>
    <rPh sb="4" eb="5">
      <t>ザイ</t>
    </rPh>
    <rPh sb="5" eb="6">
      <t>ハシラ</t>
    </rPh>
    <rPh sb="9" eb="10">
      <t>カコ</t>
    </rPh>
    <rPh sb="11" eb="12">
      <t>ヨウ</t>
    </rPh>
    <phoneticPr fontId="1"/>
  </si>
  <si>
    <t>３．外部面材等</t>
    <rPh sb="2" eb="4">
      <t>ガイブ</t>
    </rPh>
    <rPh sb="4" eb="6">
      <t>メンザイ</t>
    </rPh>
    <rPh sb="6" eb="7">
      <t>トウ</t>
    </rPh>
    <phoneticPr fontId="1"/>
  </si>
  <si>
    <t>・OSB合板9×910×2,420</t>
    <rPh sb="4" eb="6">
      <t>ゴウハン</t>
    </rPh>
    <phoneticPr fontId="1"/>
  </si>
  <si>
    <t>・OSB合板9×910×1,820</t>
    <rPh sb="4" eb="6">
      <t>ゴウハン</t>
    </rPh>
    <phoneticPr fontId="1"/>
  </si>
  <si>
    <t>・防湿シート50m巻き</t>
    <rPh sb="1" eb="3">
      <t>ボウシツ</t>
    </rPh>
    <rPh sb="9" eb="10">
      <t>マ</t>
    </rPh>
    <phoneticPr fontId="1"/>
  </si>
  <si>
    <t>・屋根ガルバニュウム鋼板</t>
    <rPh sb="1" eb="3">
      <t>ヤネ</t>
    </rPh>
    <rPh sb="10" eb="12">
      <t>コウハン</t>
    </rPh>
    <phoneticPr fontId="1"/>
  </si>
  <si>
    <t>ｍ</t>
    <phoneticPr fontId="1"/>
  </si>
  <si>
    <t>4.5m×5本 素地</t>
    <rPh sb="6" eb="7">
      <t>ホン</t>
    </rPh>
    <rPh sb="8" eb="10">
      <t>ソジ</t>
    </rPh>
    <phoneticPr fontId="1"/>
  </si>
  <si>
    <t>　</t>
    <phoneticPr fontId="1"/>
  </si>
  <si>
    <t>・取外し水切り糸長150㎜４ｍ</t>
    <rPh sb="1" eb="3">
      <t>トリハズ</t>
    </rPh>
    <rPh sb="4" eb="6">
      <t>ミズキ</t>
    </rPh>
    <rPh sb="7" eb="8">
      <t>イト</t>
    </rPh>
    <rPh sb="8" eb="9">
      <t>チョウ</t>
    </rPh>
    <phoneticPr fontId="1"/>
  </si>
  <si>
    <t>L=2,300㎜</t>
    <phoneticPr fontId="1"/>
  </si>
  <si>
    <t>・唐草下がり40㎜L=3m</t>
    <rPh sb="1" eb="3">
      <t>カラクサ</t>
    </rPh>
    <rPh sb="3" eb="4">
      <t>サ</t>
    </rPh>
    <phoneticPr fontId="1"/>
  </si>
  <si>
    <t>・床下用ガルバニュウム鋼板</t>
    <rPh sb="1" eb="3">
      <t>ユカシタ</t>
    </rPh>
    <rPh sb="3" eb="4">
      <t>ヨウ</t>
    </rPh>
    <rPh sb="11" eb="13">
      <t>コウハン</t>
    </rPh>
    <phoneticPr fontId="1"/>
  </si>
  <si>
    <t>５．断熱材</t>
    <rPh sb="2" eb="5">
      <t>ダンネツザイ</t>
    </rPh>
    <phoneticPr fontId="1"/>
  </si>
  <si>
    <t>・床用スタイロフォーム90㎜</t>
    <rPh sb="1" eb="3">
      <t>ユカヨウ</t>
    </rPh>
    <phoneticPr fontId="1"/>
  </si>
  <si>
    <t>・壁用スタイロフォーム90㎜</t>
    <rPh sb="1" eb="3">
      <t>カベヨウ</t>
    </rPh>
    <phoneticPr fontId="1"/>
  </si>
  <si>
    <t>・天井用スタイロフォーム90㎜</t>
    <rPh sb="1" eb="3">
      <t>テンジョウ</t>
    </rPh>
    <rPh sb="3" eb="4">
      <t>ヨウ</t>
    </rPh>
    <phoneticPr fontId="1"/>
  </si>
  <si>
    <t>ｹｰｽ</t>
    <phoneticPr fontId="1"/>
  </si>
  <si>
    <t>クリア塗装品</t>
    <rPh sb="3" eb="6">
      <t>トソウヒン</t>
    </rPh>
    <phoneticPr fontId="1"/>
  </si>
  <si>
    <t>910×2,420</t>
    <phoneticPr fontId="1"/>
  </si>
  <si>
    <t>910×1,820</t>
    <phoneticPr fontId="1"/>
  </si>
  <si>
    <t>※15枚入り 3.14m2</t>
    <phoneticPr fontId="1"/>
  </si>
  <si>
    <t>・Pタイル モルタライク647-701</t>
    <phoneticPr fontId="1"/>
  </si>
  <si>
    <t>・ジャワ―トイレユニット1116</t>
    <phoneticPr fontId="1"/>
  </si>
  <si>
    <t>台</t>
    <rPh sb="0" eb="1">
      <t>ダイ</t>
    </rPh>
    <phoneticPr fontId="1"/>
  </si>
  <si>
    <t>・エアコン</t>
    <phoneticPr fontId="1"/>
  </si>
  <si>
    <t>・ガス給湯器16号</t>
    <rPh sb="3" eb="6">
      <t>キュウトウキ</t>
    </rPh>
    <rPh sb="8" eb="9">
      <t>ゴウ</t>
    </rPh>
    <phoneticPr fontId="1"/>
  </si>
  <si>
    <t>・木製建具（能登ヒバ合板）</t>
    <rPh sb="1" eb="5">
      <t>モクセイタテグ</t>
    </rPh>
    <rPh sb="6" eb="8">
      <t>ノト</t>
    </rPh>
    <rPh sb="10" eb="12">
      <t>ゴウハン</t>
    </rPh>
    <phoneticPr fontId="1"/>
  </si>
  <si>
    <t>収納・下駄箱・洗面台</t>
    <rPh sb="0" eb="2">
      <t>シュウノウ</t>
    </rPh>
    <rPh sb="3" eb="6">
      <t>ゲタバコ</t>
    </rPh>
    <rPh sb="7" eb="10">
      <t>センメンダイ</t>
    </rPh>
    <phoneticPr fontId="1"/>
  </si>
  <si>
    <t>・サッシ</t>
    <phoneticPr fontId="1"/>
  </si>
  <si>
    <t>玄関ドア</t>
    <rPh sb="0" eb="2">
      <t>ゲンカン</t>
    </rPh>
    <phoneticPr fontId="1"/>
  </si>
  <si>
    <t>引違、押出、縦辷り窓</t>
    <rPh sb="0" eb="2">
      <t>ヒキチガイ</t>
    </rPh>
    <rPh sb="3" eb="5">
      <t>オシダ</t>
    </rPh>
    <rPh sb="6" eb="8">
      <t>タテスベ</t>
    </rPh>
    <rPh sb="9" eb="10">
      <t>マド</t>
    </rPh>
    <phoneticPr fontId="1"/>
  </si>
  <si>
    <t>式</t>
    <rPh sb="0" eb="1">
      <t>シキ</t>
    </rPh>
    <phoneticPr fontId="1"/>
  </si>
  <si>
    <t>・スマートキー</t>
    <phoneticPr fontId="1"/>
  </si>
  <si>
    <t>・ハンガーパイプ（取付金物共）</t>
    <rPh sb="9" eb="11">
      <t>トリツケ</t>
    </rPh>
    <rPh sb="11" eb="13">
      <t>カナモノ</t>
    </rPh>
    <rPh sb="13" eb="14">
      <t>トモ</t>
    </rPh>
    <phoneticPr fontId="1"/>
  </si>
  <si>
    <t>ｾｯﾄ</t>
    <phoneticPr fontId="1"/>
  </si>
  <si>
    <t>・洋服掛け15×15</t>
    <rPh sb="1" eb="4">
      <t>ヨウフクガ</t>
    </rPh>
    <phoneticPr fontId="1"/>
  </si>
  <si>
    <t>・洗面器KB-PR012-03-G141</t>
    <rPh sb="1" eb="4">
      <t>センメンキ</t>
    </rPh>
    <phoneticPr fontId="1"/>
  </si>
  <si>
    <t>toolbox</t>
    <phoneticPr fontId="1"/>
  </si>
  <si>
    <t>・混合水栓KB-TP006-01-G141</t>
    <rPh sb="1" eb="5">
      <t>コンゴウスイセン</t>
    </rPh>
    <phoneticPr fontId="1"/>
  </si>
  <si>
    <t>・折り畳み式ベット1200×2000</t>
    <rPh sb="1" eb="2">
      <t>オ</t>
    </rPh>
    <rPh sb="3" eb="4">
      <t>タタ</t>
    </rPh>
    <rPh sb="5" eb="6">
      <t>シキ</t>
    </rPh>
    <phoneticPr fontId="1"/>
  </si>
  <si>
    <t>人</t>
    <rPh sb="0" eb="1">
      <t>ニン</t>
    </rPh>
    <phoneticPr fontId="1"/>
  </si>
  <si>
    <t>・室内造作（建具取付まで）</t>
    <rPh sb="1" eb="5">
      <t>シツナイゾウサク</t>
    </rPh>
    <rPh sb="6" eb="8">
      <t>タテグ</t>
    </rPh>
    <rPh sb="8" eb="10">
      <t>トリツケ</t>
    </rPh>
    <phoneticPr fontId="1"/>
  </si>
  <si>
    <t>・照明器具含む</t>
    <rPh sb="1" eb="5">
      <t>ショウメイキグ</t>
    </rPh>
    <rPh sb="5" eb="6">
      <t>フク</t>
    </rPh>
    <phoneticPr fontId="1"/>
  </si>
  <si>
    <t>・敷地状況によって別途見積</t>
    <rPh sb="1" eb="5">
      <t>シキチジョウキョウ</t>
    </rPh>
    <rPh sb="9" eb="11">
      <t>ベット</t>
    </rPh>
    <rPh sb="11" eb="13">
      <t>ミツモリ</t>
    </rPh>
    <phoneticPr fontId="1"/>
  </si>
  <si>
    <t>※１．各種養生（床養生マット、壁ビニールシート等）</t>
    <rPh sb="3" eb="5">
      <t>カクシュ</t>
    </rPh>
    <rPh sb="5" eb="7">
      <t>ヨウジョウ</t>
    </rPh>
    <rPh sb="8" eb="9">
      <t>ユカ</t>
    </rPh>
    <rPh sb="9" eb="11">
      <t>ヨウジョウ</t>
    </rPh>
    <rPh sb="15" eb="16">
      <t>カベ</t>
    </rPh>
    <rPh sb="23" eb="24">
      <t>トウ</t>
    </rPh>
    <phoneticPr fontId="1"/>
  </si>
  <si>
    <t>トン袋のみ</t>
    <rPh sb="2" eb="3">
      <t>ブクロ</t>
    </rPh>
    <phoneticPr fontId="1"/>
  </si>
  <si>
    <t>小　計</t>
  </si>
  <si>
    <t>税抜き請負額</t>
    <rPh sb="0" eb="2">
      <t>ゼイヌ</t>
    </rPh>
    <rPh sb="3" eb="5">
      <t>ウケオイ</t>
    </rPh>
    <rPh sb="5" eb="6">
      <t>ガク</t>
    </rPh>
    <phoneticPr fontId="6"/>
  </si>
  <si>
    <t>値引き等調整額</t>
    <rPh sb="0" eb="2">
      <t>ネビ</t>
    </rPh>
    <rPh sb="3" eb="4">
      <t>トウ</t>
    </rPh>
    <rPh sb="4" eb="7">
      <t>チョウセイガク</t>
    </rPh>
    <phoneticPr fontId="6"/>
  </si>
  <si>
    <t>消費税</t>
  </si>
  <si>
    <t>合　計</t>
  </si>
  <si>
    <t>備考（説明）</t>
    <rPh sb="0" eb="2">
      <t>ビコウ</t>
    </rPh>
    <rPh sb="3" eb="5">
      <t>セツメイ</t>
    </rPh>
    <phoneticPr fontId="1"/>
  </si>
  <si>
    <t>本体</t>
    <rPh sb="0" eb="2">
      <t>ホンタイ</t>
    </rPh>
    <phoneticPr fontId="1"/>
  </si>
  <si>
    <t>２．プレカット</t>
    <phoneticPr fontId="1"/>
  </si>
  <si>
    <t>　（木材費）</t>
    <rPh sb="2" eb="5">
      <t>モクザイヒ</t>
    </rPh>
    <phoneticPr fontId="1"/>
  </si>
  <si>
    <t>４．屋根外壁工事</t>
    <rPh sb="2" eb="4">
      <t>ヤネ</t>
    </rPh>
    <rPh sb="4" eb="8">
      <t>ガイヘキコウジ</t>
    </rPh>
    <phoneticPr fontId="1"/>
  </si>
  <si>
    <t>　（ガルバ色洗濯可能）</t>
    <rPh sb="5" eb="6">
      <t>イロ</t>
    </rPh>
    <rPh sb="6" eb="8">
      <t>センタク</t>
    </rPh>
    <rPh sb="8" eb="10">
      <t>カノウ</t>
    </rPh>
    <phoneticPr fontId="1"/>
  </si>
  <si>
    <t>・本体組立費</t>
    <rPh sb="1" eb="3">
      <t>ホンタイ</t>
    </rPh>
    <rPh sb="3" eb="6">
      <t>クミタテヒ</t>
    </rPh>
    <phoneticPr fontId="1"/>
  </si>
  <si>
    <t>・合板施工費</t>
    <rPh sb="1" eb="3">
      <t>ゴウハン</t>
    </rPh>
    <rPh sb="3" eb="6">
      <t>セコウヒ</t>
    </rPh>
    <phoneticPr fontId="1"/>
  </si>
  <si>
    <t>㎡</t>
    <phoneticPr fontId="1"/>
  </si>
  <si>
    <t>・外壁角スパンガルバ鋼板</t>
    <rPh sb="1" eb="3">
      <t>ガイヘキ</t>
    </rPh>
    <rPh sb="3" eb="4">
      <t>カク</t>
    </rPh>
    <phoneticPr fontId="1"/>
  </si>
  <si>
    <t>・外壁張り手間</t>
    <rPh sb="1" eb="3">
      <t>ガイヘキ</t>
    </rPh>
    <rPh sb="3" eb="4">
      <t>ハ</t>
    </rPh>
    <rPh sb="5" eb="7">
      <t>テマ</t>
    </rPh>
    <phoneticPr fontId="1"/>
  </si>
  <si>
    <t>・下見板張り（防腐剤塗り共）</t>
    <rPh sb="1" eb="5">
      <t>シタミイタハ</t>
    </rPh>
    <rPh sb="7" eb="11">
      <t>ボウフザイヌ</t>
    </rPh>
    <rPh sb="12" eb="13">
      <t>トモ</t>
    </rPh>
    <phoneticPr fontId="1"/>
  </si>
  <si>
    <t>５．サッシ木製建具工事</t>
    <rPh sb="5" eb="7">
      <t>モクセイ</t>
    </rPh>
    <rPh sb="7" eb="9">
      <t>タテグ</t>
    </rPh>
    <rPh sb="9" eb="11">
      <t>コウジ</t>
    </rPh>
    <phoneticPr fontId="1"/>
  </si>
  <si>
    <t>本体諸費用（交通費、労災、安全管理費等）</t>
    <rPh sb="0" eb="2">
      <t>ホンタイ</t>
    </rPh>
    <phoneticPr fontId="1"/>
  </si>
  <si>
    <t>ｵﾌﾟｼｮﾝ</t>
    <phoneticPr fontId="1"/>
  </si>
  <si>
    <t>１．内装仕上げ</t>
    <rPh sb="2" eb="6">
      <t>ナイソウシア</t>
    </rPh>
    <phoneticPr fontId="1"/>
  </si>
  <si>
    <t>２．設備機器</t>
    <rPh sb="2" eb="6">
      <t>セツビキキ</t>
    </rPh>
    <phoneticPr fontId="1"/>
  </si>
  <si>
    <t>別途工事</t>
    <rPh sb="0" eb="2">
      <t>ベット</t>
    </rPh>
    <rPh sb="2" eb="4">
      <t>コウジ</t>
    </rPh>
    <phoneticPr fontId="1"/>
  </si>
  <si>
    <t>3．造作工事</t>
    <rPh sb="2" eb="4">
      <t>ゾウサク</t>
    </rPh>
    <rPh sb="4" eb="6">
      <t>コウジ</t>
    </rPh>
    <phoneticPr fontId="1"/>
  </si>
  <si>
    <t>オプション諸費用（交通費、労災、安全管理費等）</t>
    <rPh sb="5" eb="6">
      <t>ショ</t>
    </rPh>
    <phoneticPr fontId="1"/>
  </si>
  <si>
    <t>別途</t>
    <rPh sb="0" eb="2">
      <t>ベット</t>
    </rPh>
    <phoneticPr fontId="1"/>
  </si>
  <si>
    <t>１．運送費</t>
    <rPh sb="2" eb="5">
      <t>ウンソウヒ</t>
    </rPh>
    <phoneticPr fontId="1"/>
  </si>
  <si>
    <t>３．梱包養生</t>
    <rPh sb="2" eb="4">
      <t>コンポウ</t>
    </rPh>
    <rPh sb="4" eb="6">
      <t>ヨウジョウ</t>
    </rPh>
    <phoneticPr fontId="1"/>
  </si>
  <si>
    <t>６．給排水給湯設備工事</t>
    <rPh sb="2" eb="5">
      <t>キュウハイスイ</t>
    </rPh>
    <rPh sb="5" eb="7">
      <t>キュウトウ</t>
    </rPh>
    <rPh sb="7" eb="9">
      <t>セツビ</t>
    </rPh>
    <rPh sb="9" eb="11">
      <t>コウジ</t>
    </rPh>
    <phoneticPr fontId="1"/>
  </si>
  <si>
    <t>２．設計監理及び確認申請費</t>
    <rPh sb="2" eb="6">
      <t>セッケイカンリ</t>
    </rPh>
    <rPh sb="6" eb="7">
      <t>オヨ</t>
    </rPh>
    <rPh sb="8" eb="13">
      <t>カクニンシンセイヒ</t>
    </rPh>
    <phoneticPr fontId="1"/>
  </si>
  <si>
    <t>４．現場設置工事</t>
    <rPh sb="2" eb="4">
      <t>ゲンバ</t>
    </rPh>
    <rPh sb="4" eb="6">
      <t>セッチ</t>
    </rPh>
    <rPh sb="6" eb="8">
      <t>コウジ</t>
    </rPh>
    <phoneticPr fontId="1"/>
  </si>
  <si>
    <t>５．電気設備工事</t>
    <rPh sb="2" eb="8">
      <t>デンキセツビコウジ</t>
    </rPh>
    <phoneticPr fontId="1"/>
  </si>
  <si>
    <t>７．基礎工事（設置後工事）</t>
    <rPh sb="2" eb="6">
      <t>キソコウジ</t>
    </rPh>
    <rPh sb="7" eb="10">
      <t>セッチゴ</t>
    </rPh>
    <rPh sb="10" eb="12">
      <t>コウジ</t>
    </rPh>
    <phoneticPr fontId="1"/>
  </si>
  <si>
    <t>８．廃材処分費（家庭用ごみ（家具等）は別途料金が発生します）</t>
    <rPh sb="2" eb="7">
      <t>ハイザイショブンヒ</t>
    </rPh>
    <rPh sb="8" eb="11">
      <t>カテイヨウ</t>
    </rPh>
    <rPh sb="14" eb="16">
      <t>カグ</t>
    </rPh>
    <rPh sb="16" eb="17">
      <t>トウ</t>
    </rPh>
    <rPh sb="19" eb="21">
      <t>ベット</t>
    </rPh>
    <rPh sb="21" eb="23">
      <t>リョウキン</t>
    </rPh>
    <rPh sb="24" eb="26">
      <t>ハッセイ</t>
    </rPh>
    <phoneticPr fontId="1"/>
  </si>
  <si>
    <t>９．別途現場諸費用（交通費、労災、安全管理費等）</t>
    <rPh sb="2" eb="4">
      <t>ベット</t>
    </rPh>
    <rPh sb="4" eb="6">
      <t>ゲンバ</t>
    </rPh>
    <phoneticPr fontId="1"/>
  </si>
  <si>
    <t>【別途工事計】</t>
    <rPh sb="1" eb="3">
      <t>ベット</t>
    </rPh>
    <rPh sb="3" eb="5">
      <t>コウジ</t>
    </rPh>
    <rPh sb="5" eb="6">
      <t>ケイ</t>
    </rPh>
    <phoneticPr fontId="1"/>
  </si>
  <si>
    <t>【オプション価格計】</t>
    <rPh sb="6" eb="8">
      <t>カカク</t>
    </rPh>
    <rPh sb="8" eb="9">
      <t>ケイ</t>
    </rPh>
    <phoneticPr fontId="1"/>
  </si>
  <si>
    <t>【本体価格計】</t>
    <rPh sb="1" eb="5">
      <t>ホンタイカカク</t>
    </rPh>
    <rPh sb="5" eb="6">
      <t>ケイ</t>
    </rPh>
    <phoneticPr fontId="1"/>
  </si>
  <si>
    <t>氏名</t>
    <rPh sb="0" eb="2">
      <t>シメイ</t>
    </rPh>
    <phoneticPr fontId="6"/>
  </si>
  <si>
    <t>商品名：</t>
    <rPh sb="0" eb="3">
      <t>ショウヒンメイヒンメイ</t>
    </rPh>
    <phoneticPr fontId="1"/>
  </si>
  <si>
    <t>設置場所：</t>
    <rPh sb="0" eb="4">
      <t>セッチバショ</t>
    </rPh>
    <phoneticPr fontId="1"/>
  </si>
  <si>
    <t>氏名</t>
    <rPh sb="0" eb="2">
      <t>シメイ</t>
    </rPh>
    <phoneticPr fontId="1"/>
  </si>
  <si>
    <t>住所：</t>
    <rPh sb="0" eb="2">
      <t>ジュウショ</t>
    </rPh>
    <phoneticPr fontId="6"/>
  </si>
  <si>
    <t>TEL:</t>
    <phoneticPr fontId="1"/>
  </si>
  <si>
    <t>・ウォッシュレット</t>
    <phoneticPr fontId="1"/>
  </si>
  <si>
    <t>・ミニキッチン</t>
    <phoneticPr fontId="1"/>
  </si>
  <si>
    <t>原価表</t>
    <rPh sb="0" eb="3">
      <t>ゲンカヒョウ</t>
    </rPh>
    <phoneticPr fontId="6"/>
  </si>
  <si>
    <t>４．各種養生（床養生マット、壁ビニールシート等）</t>
    <rPh sb="2" eb="4">
      <t>カクシュ</t>
    </rPh>
    <rPh sb="4" eb="6">
      <t>ヨウジョウ</t>
    </rPh>
    <rPh sb="7" eb="8">
      <t>ユカ</t>
    </rPh>
    <rPh sb="8" eb="10">
      <t>ヨウジョウ</t>
    </rPh>
    <rPh sb="14" eb="15">
      <t>カベ</t>
    </rPh>
    <rPh sb="22" eb="23">
      <t>トウ</t>
    </rPh>
    <phoneticPr fontId="1"/>
  </si>
  <si>
    <t>３．造作工事</t>
    <rPh sb="2" eb="4">
      <t>ゾウサク</t>
    </rPh>
    <rPh sb="4" eb="6">
      <t>コウジ</t>
    </rPh>
    <phoneticPr fontId="1"/>
  </si>
  <si>
    <t>８．廃材処分費（家庭用ごみは別途料金が発生します）</t>
    <rPh sb="2" eb="7">
      <t>ハイザイショブンヒ</t>
    </rPh>
    <rPh sb="8" eb="11">
      <t>カテイヨウ</t>
    </rPh>
    <rPh sb="14" eb="16">
      <t>ベット</t>
    </rPh>
    <rPh sb="16" eb="18">
      <t>リョウキン</t>
    </rPh>
    <rPh sb="19" eb="21">
      <t>ハッセイ</t>
    </rPh>
    <phoneticPr fontId="1"/>
  </si>
  <si>
    <t>収納分</t>
    <rPh sb="0" eb="2">
      <t>シュウノウ</t>
    </rPh>
    <rPh sb="2" eb="3">
      <t>ブン</t>
    </rPh>
    <phoneticPr fontId="1"/>
  </si>
  <si>
    <t>・木製建具（クローゼット）</t>
    <rPh sb="1" eb="5">
      <t>モクセイタテグ</t>
    </rPh>
    <phoneticPr fontId="1"/>
  </si>
  <si>
    <t>・床フローリング</t>
    <rPh sb="1" eb="2">
      <t>ユカ</t>
    </rPh>
    <phoneticPr fontId="1"/>
  </si>
  <si>
    <t>・壁クロス仕上げ</t>
    <rPh sb="1" eb="2">
      <t>カベ</t>
    </rPh>
    <rPh sb="5" eb="7">
      <t>シア</t>
    </rPh>
    <phoneticPr fontId="1"/>
  </si>
  <si>
    <t>・天井モクボードラワン 24.0mm厚</t>
    <rPh sb="1" eb="3">
      <t>テンジョウ</t>
    </rPh>
    <rPh sb="18" eb="19">
      <t>アツ</t>
    </rPh>
    <phoneticPr fontId="1"/>
  </si>
  <si>
    <t>坪</t>
    <rPh sb="0" eb="1">
      <t>ツボ</t>
    </rPh>
    <phoneticPr fontId="1"/>
  </si>
  <si>
    <t>・床グラスウール90㎜</t>
    <rPh sb="1" eb="2">
      <t>ユカ</t>
    </rPh>
    <phoneticPr fontId="1"/>
  </si>
  <si>
    <t>・壁グラスウール91㎜</t>
    <rPh sb="1" eb="2">
      <t>カベ</t>
    </rPh>
    <phoneticPr fontId="1"/>
  </si>
  <si>
    <t>・天井グラスウール92㎜</t>
    <rPh sb="1" eb="3">
      <t>テンジョウ</t>
    </rPh>
    <phoneticPr fontId="1"/>
  </si>
  <si>
    <t>BOX</t>
    <phoneticPr fontId="1"/>
  </si>
  <si>
    <t>・天井ラワン合板4㎜</t>
    <rPh sb="1" eb="3">
      <t>テンジョウ</t>
    </rPh>
    <rPh sb="6" eb="8">
      <t>ゴウバン</t>
    </rPh>
    <phoneticPr fontId="1"/>
  </si>
  <si>
    <t>・天井クロス仕上げ</t>
    <rPh sb="1" eb="3">
      <t>テンジョウ</t>
    </rPh>
    <rPh sb="6" eb="8">
      <t>シア</t>
    </rPh>
    <phoneticPr fontId="1"/>
  </si>
  <si>
    <t>・ユニットバス1216</t>
    <phoneticPr fontId="1"/>
  </si>
  <si>
    <t>・3点ユニット1216</t>
    <rPh sb="2" eb="3">
      <t>テン</t>
    </rPh>
    <phoneticPr fontId="1"/>
  </si>
  <si>
    <t>・シャワーユニット1116</t>
    <phoneticPr fontId="1"/>
  </si>
  <si>
    <t>・天井ラワンべニア</t>
    <rPh sb="1" eb="3">
      <t>テンジョウ</t>
    </rPh>
    <phoneticPr fontId="1"/>
  </si>
  <si>
    <t>・ラワンべニア4㎜</t>
    <phoneticPr fontId="1"/>
  </si>
  <si>
    <t>・家具下足箱</t>
    <rPh sb="1" eb="3">
      <t>カグ</t>
    </rPh>
    <rPh sb="3" eb="5">
      <t>ゲソク</t>
    </rPh>
    <rPh sb="5" eb="6">
      <t>バコ</t>
    </rPh>
    <phoneticPr fontId="1"/>
  </si>
  <si>
    <t>・床モクタイルラワン450 12㎜厚</t>
    <rPh sb="1" eb="2">
      <t>ユカ</t>
    </rPh>
    <rPh sb="17" eb="18">
      <t>アツ</t>
    </rPh>
    <phoneticPr fontId="1"/>
  </si>
  <si>
    <t>・壁モクボードラワン 5.0mm厚</t>
    <rPh sb="1" eb="2">
      <t>カベ</t>
    </rPh>
    <rPh sb="16" eb="17">
      <t>アツ</t>
    </rPh>
    <phoneticPr fontId="1"/>
  </si>
  <si>
    <t>・天井ラワンべニア4㎜</t>
    <rPh sb="1" eb="3">
      <t>テンジョウ</t>
    </rPh>
    <phoneticPr fontId="1"/>
  </si>
  <si>
    <t>・クロス張り</t>
    <rPh sb="4" eb="5">
      <t>ハ</t>
    </rPh>
    <phoneticPr fontId="1"/>
  </si>
  <si>
    <t>お客様見積書</t>
    <rPh sb="1" eb="3">
      <t>キャクサマ</t>
    </rPh>
    <rPh sb="3" eb="4">
      <t>ミ</t>
    </rPh>
    <rPh sb="4" eb="5">
      <t>セキ</t>
    </rPh>
    <rPh sb="5" eb="6">
      <t>ショ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</si>
</sst>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 * #,##0_ ;_ * \-#,##0_ ;_ * &quot;-&quot;_ ;_ @_ "/>
    <numFmt numFmtId="176" formatCode="&quot;掛&quot;&quot;率&quot;0.00%"/>
    <numFmt numFmtId="177" formatCode="&quot;粗利&quot;\ #,##0\ &quot;円&quot;&quot;也&quot;;[Red]\-&quot;粗利&quot;\ #,##0\ &quot;円&quot;&quot;也&quot;"/>
    <numFmt numFmtId="178" formatCode="&quot;発&quot;&quot;注&quot;&quot;率&quot;0.00%"/>
    <numFmt numFmtId="179" formatCode="&quot;金&quot;\ #,##0\ &quot;円&quot;&quot;也&quot;;[Red]\-&quot;金&quot;\ #,##0\ &quot;円&quot;&quot;也&quot;"/>
    <numFmt numFmtId="180" formatCode="#,##0.00_ "/>
    <numFmt numFmtId="181" formatCode="_ * #,##0_ ;[Red]_ * \-#,##0_ ;_ * &quot;-&quot;_ ;_ @_ "/>
    <numFmt numFmtId="182" formatCode="#,###"/>
    <numFmt numFmtId="183" formatCode="&quot;小&quot;&quot;計&quot;\ #,##0_ ;[Red]_ * \-#,##0_ ;_ * &quot;-&quot;_ ;_ @_ "/>
    <numFmt numFmtId="184" formatCode="#,##0.0_ "/>
    <numFmt numFmtId="186" formatCode="0.0%"/>
  </numFmts>
  <fonts count="2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</font>
    <font>
      <sz val="6"/>
      <name val="游ゴシック"/>
      <family val="3"/>
      <charset val="128"/>
      <scheme val="minor"/>
    </font>
    <font>
      <sz val="10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b/>
      <sz val="14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游ゴシック"/>
      <family val="2"/>
      <scheme val="minor"/>
    </font>
    <font>
      <b/>
      <sz val="10"/>
      <color theme="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name val="Calibri"/>
      <family val="2"/>
    </font>
    <font>
      <b/>
      <sz val="11"/>
      <color theme="0"/>
      <name val="游ゴシック"/>
      <family val="3"/>
      <charset val="128"/>
    </font>
    <font>
      <sz val="18"/>
      <color theme="1"/>
      <name val="游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10"/>
      <name val="Calibri"/>
      <family val="2"/>
    </font>
    <font>
      <b/>
      <sz val="9"/>
      <color theme="0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1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1F8D8"/>
        <bgColor indexed="64"/>
      </patternFill>
    </fill>
    <fill>
      <patternFill patternType="solid">
        <fgColor rgb="FFEEFB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0">
    <xf numFmtId="0" fontId="0" fillId="0" borderId="0" xfId="0">
      <alignment vertical="center"/>
    </xf>
    <xf numFmtId="10" fontId="2" fillId="0" borderId="0" xfId="0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vertical="center" shrinkToFit="1"/>
    </xf>
    <xf numFmtId="177" fontId="3" fillId="0" borderId="0" xfId="0" applyNumberFormat="1" applyFont="1" applyAlignment="1">
      <alignment vertical="center" shrinkToFit="1"/>
    </xf>
    <xf numFmtId="178" fontId="4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left"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12" fillId="0" borderId="3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0" fontId="7" fillId="0" borderId="3" xfId="0" applyFont="1" applyBorder="1">
      <alignment vertical="center"/>
    </xf>
    <xf numFmtId="0" fontId="7" fillId="0" borderId="3" xfId="0" applyFont="1" applyBorder="1" applyAlignment="1">
      <alignment horizontal="right" vertical="center"/>
    </xf>
    <xf numFmtId="14" fontId="2" fillId="0" borderId="3" xfId="0" applyNumberFormat="1" applyFont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7" fillId="0" borderId="4" xfId="0" applyFont="1" applyBorder="1">
      <alignment vertical="center"/>
    </xf>
    <xf numFmtId="0" fontId="0" fillId="0" borderId="4" xfId="0" applyBorder="1">
      <alignment vertical="center"/>
    </xf>
    <xf numFmtId="0" fontId="7" fillId="0" borderId="4" xfId="0" applyFont="1" applyBorder="1" applyAlignment="1">
      <alignment horizontal="right" vertical="center"/>
    </xf>
    <xf numFmtId="0" fontId="3" fillId="0" borderId="4" xfId="0" applyFont="1" applyBorder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shrinkToFit="1"/>
    </xf>
    <xf numFmtId="14" fontId="7" fillId="0" borderId="5" xfId="0" applyNumberFormat="1" applyFont="1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13" fillId="3" borderId="5" xfId="0" applyFont="1" applyFill="1" applyBorder="1" applyAlignment="1">
      <alignment horizontal="center" vertical="center" shrinkToFit="1"/>
    </xf>
    <xf numFmtId="0" fontId="13" fillId="2" borderId="5" xfId="0" applyFont="1" applyFill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13" fillId="3" borderId="5" xfId="0" applyFont="1" applyFill="1" applyBorder="1" applyAlignment="1">
      <alignment horizontal="center" vertical="center"/>
    </xf>
    <xf numFmtId="0" fontId="15" fillId="0" borderId="5" xfId="0" applyFont="1" applyBorder="1">
      <alignment vertical="center"/>
    </xf>
    <xf numFmtId="0" fontId="15" fillId="4" borderId="5" xfId="0" applyFont="1" applyFill="1" applyBorder="1">
      <alignment vertical="center"/>
    </xf>
    <xf numFmtId="0" fontId="16" fillId="0" borderId="0" xfId="0" applyFont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179" fontId="17" fillId="0" borderId="7" xfId="0" applyNumberFormat="1" applyFont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1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9" fillId="0" borderId="10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11" xfId="0" applyFont="1" applyBorder="1">
      <alignment vertical="center"/>
    </xf>
    <xf numFmtId="0" fontId="19" fillId="4" borderId="10" xfId="0" applyFont="1" applyFill="1" applyBorder="1">
      <alignment vertical="center"/>
    </xf>
    <xf numFmtId="0" fontId="20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2" xfId="0" applyFont="1" applyBorder="1">
      <alignment vertical="center"/>
    </xf>
    <xf numFmtId="56" fontId="18" fillId="0" borderId="12" xfId="0" applyNumberFormat="1" applyFont="1" applyBorder="1">
      <alignment vertical="center"/>
    </xf>
    <xf numFmtId="180" fontId="21" fillId="0" borderId="12" xfId="0" applyNumberFormat="1" applyFont="1" applyBorder="1">
      <alignment vertical="center"/>
    </xf>
    <xf numFmtId="0" fontId="21" fillId="0" borderId="12" xfId="0" applyFont="1" applyBorder="1">
      <alignment vertical="center"/>
    </xf>
    <xf numFmtId="181" fontId="21" fillId="0" borderId="12" xfId="0" applyNumberFormat="1" applyFont="1" applyBorder="1">
      <alignment vertical="center"/>
    </xf>
    <xf numFmtId="181" fontId="18" fillId="0" borderId="12" xfId="0" applyNumberFormat="1" applyFont="1" applyBorder="1">
      <alignment vertical="center"/>
    </xf>
    <xf numFmtId="182" fontId="18" fillId="0" borderId="12" xfId="0" applyNumberFormat="1" applyFont="1" applyBorder="1" applyAlignment="1">
      <alignment horizontal="left" vertical="center"/>
    </xf>
    <xf numFmtId="183" fontId="18" fillId="0" borderId="12" xfId="0" applyNumberFormat="1" applyFont="1" applyBorder="1">
      <alignment vertical="center"/>
    </xf>
    <xf numFmtId="0" fontId="0" fillId="5" borderId="0" xfId="0" applyFill="1">
      <alignment vertical="center"/>
    </xf>
    <xf numFmtId="0" fontId="18" fillId="0" borderId="14" xfId="0" applyFont="1" applyBorder="1" applyAlignment="1">
      <alignment horizontal="center" vertical="center"/>
    </xf>
    <xf numFmtId="184" fontId="18" fillId="0" borderId="14" xfId="0" applyNumberFormat="1" applyFont="1" applyBorder="1">
      <alignment vertical="center"/>
    </xf>
    <xf numFmtId="41" fontId="18" fillId="0" borderId="14" xfId="0" applyNumberFormat="1" applyFont="1" applyBorder="1">
      <alignment vertical="center"/>
    </xf>
    <xf numFmtId="41" fontId="18" fillId="0" borderId="15" xfId="0" applyNumberFormat="1" applyFont="1" applyBorder="1">
      <alignment vertical="center"/>
    </xf>
    <xf numFmtId="0" fontId="18" fillId="6" borderId="16" xfId="0" applyFont="1" applyFill="1" applyBorder="1" applyAlignment="1">
      <alignment horizontal="left" vertical="center"/>
    </xf>
    <xf numFmtId="186" fontId="18" fillId="6" borderId="16" xfId="0" applyNumberFormat="1" applyFont="1" applyFill="1" applyBorder="1">
      <alignment vertical="center"/>
    </xf>
    <xf numFmtId="41" fontId="18" fillId="6" borderId="16" xfId="0" applyNumberFormat="1" applyFont="1" applyFill="1" applyBorder="1">
      <alignment vertical="center"/>
    </xf>
    <xf numFmtId="181" fontId="18" fillId="6" borderId="17" xfId="0" applyNumberFormat="1" applyFont="1" applyFill="1" applyBorder="1">
      <alignment vertical="center"/>
    </xf>
    <xf numFmtId="0" fontId="18" fillId="0" borderId="12" xfId="0" applyFont="1" applyBorder="1" applyAlignment="1">
      <alignment horizontal="center" vertical="center"/>
    </xf>
    <xf numFmtId="186" fontId="18" fillId="0" borderId="12" xfId="0" applyNumberFormat="1" applyFont="1" applyBorder="1" applyAlignment="1">
      <alignment vertical="center" shrinkToFit="1"/>
    </xf>
    <xf numFmtId="41" fontId="18" fillId="0" borderId="17" xfId="0" applyNumberFormat="1" applyFont="1" applyBorder="1">
      <alignment vertical="center"/>
    </xf>
    <xf numFmtId="0" fontId="18" fillId="7" borderId="13" xfId="0" applyFont="1" applyFill="1" applyBorder="1" applyAlignment="1">
      <alignment horizontal="center" vertical="center"/>
    </xf>
    <xf numFmtId="184" fontId="18" fillId="7" borderId="13" xfId="0" applyNumberFormat="1" applyFont="1" applyFill="1" applyBorder="1">
      <alignment vertical="center"/>
    </xf>
    <xf numFmtId="41" fontId="18" fillId="7" borderId="13" xfId="0" applyNumberFormat="1" applyFont="1" applyFill="1" applyBorder="1">
      <alignment vertical="center"/>
    </xf>
    <xf numFmtId="41" fontId="18" fillId="7" borderId="18" xfId="0" applyNumberFormat="1" applyFont="1" applyFill="1" applyBorder="1">
      <alignment vertical="center"/>
    </xf>
    <xf numFmtId="0" fontId="18" fillId="7" borderId="13" xfId="0" applyFont="1" applyFill="1" applyBorder="1">
      <alignment vertical="center"/>
    </xf>
    <xf numFmtId="0" fontId="18" fillId="7" borderId="19" xfId="0" applyFont="1" applyFill="1" applyBorder="1">
      <alignment vertical="center"/>
    </xf>
    <xf numFmtId="0" fontId="18" fillId="7" borderId="20" xfId="0" applyFont="1" applyFill="1" applyBorder="1">
      <alignment vertical="center"/>
    </xf>
    <xf numFmtId="0" fontId="21" fillId="7" borderId="20" xfId="0" applyFont="1" applyFill="1" applyBorder="1" applyAlignment="1">
      <alignment horizontal="left" vertical="center"/>
    </xf>
    <xf numFmtId="0" fontId="18" fillId="7" borderId="21" xfId="0" applyFont="1" applyFill="1" applyBorder="1">
      <alignment vertical="center"/>
    </xf>
    <xf numFmtId="182" fontId="18" fillId="7" borderId="12" xfId="0" applyNumberFormat="1" applyFont="1" applyFill="1" applyBorder="1" applyAlignment="1">
      <alignment horizontal="left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>
      <alignment vertical="center"/>
    </xf>
    <xf numFmtId="0" fontId="18" fillId="0" borderId="24" xfId="0" applyFont="1" applyBorder="1">
      <alignment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182" fontId="18" fillId="0" borderId="23" xfId="0" applyNumberFormat="1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26" xfId="0" applyFont="1" applyBorder="1">
      <alignment vertical="center"/>
    </xf>
    <xf numFmtId="0" fontId="18" fillId="0" borderId="2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horizontal="left" vertical="center"/>
    </xf>
    <xf numFmtId="0" fontId="18" fillId="0" borderId="2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>
      <alignment vertical="center"/>
    </xf>
    <xf numFmtId="0" fontId="18" fillId="0" borderId="28" xfId="0" applyFont="1" applyBorder="1">
      <alignment vertical="center"/>
    </xf>
    <xf numFmtId="0" fontId="18" fillId="0" borderId="2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82" fontId="18" fillId="0" borderId="3" xfId="0" applyNumberFormat="1" applyFont="1" applyBorder="1" applyAlignment="1">
      <alignment horizontal="left" vertical="center"/>
    </xf>
    <xf numFmtId="0" fontId="18" fillId="0" borderId="12" xfId="0" applyFont="1" applyFill="1" applyBorder="1" applyAlignment="1">
      <alignment horizontal="left" vertical="center"/>
    </xf>
    <xf numFmtId="56" fontId="18" fillId="0" borderId="12" xfId="0" applyNumberFormat="1" applyFont="1" applyFill="1" applyBorder="1">
      <alignment vertical="center"/>
    </xf>
    <xf numFmtId="0" fontId="18" fillId="0" borderId="12" xfId="0" applyFont="1" applyFill="1" applyBorder="1">
      <alignment vertical="center"/>
    </xf>
    <xf numFmtId="180" fontId="21" fillId="0" borderId="12" xfId="0" applyNumberFormat="1" applyFont="1" applyFill="1" applyBorder="1">
      <alignment vertical="center"/>
    </xf>
    <xf numFmtId="0" fontId="21" fillId="0" borderId="12" xfId="0" applyFont="1" applyFill="1" applyBorder="1">
      <alignment vertical="center"/>
    </xf>
    <xf numFmtId="181" fontId="21" fillId="0" borderId="12" xfId="0" applyNumberFormat="1" applyFont="1" applyFill="1" applyBorder="1">
      <alignment vertical="center"/>
    </xf>
    <xf numFmtId="181" fontId="18" fillId="0" borderId="12" xfId="0" applyNumberFormat="1" applyFont="1" applyFill="1" applyBorder="1">
      <alignment vertical="center"/>
    </xf>
    <xf numFmtId="182" fontId="18" fillId="0" borderId="12" xfId="0" applyNumberFormat="1" applyFont="1" applyFill="1" applyBorder="1" applyAlignment="1">
      <alignment horizontal="left" vertical="center"/>
    </xf>
    <xf numFmtId="0" fontId="18" fillId="0" borderId="12" xfId="0" applyFont="1" applyFill="1" applyBorder="1" applyAlignment="1">
      <alignment horizontal="right" vertical="center"/>
    </xf>
    <xf numFmtId="183" fontId="18" fillId="0" borderId="12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0" fillId="8" borderId="0" xfId="0" applyFill="1">
      <alignment vertical="center"/>
    </xf>
    <xf numFmtId="0" fontId="21" fillId="0" borderId="12" xfId="0" applyFont="1" applyFill="1" applyBorder="1" applyAlignment="1">
      <alignment horizontal="left" vertical="center"/>
    </xf>
    <xf numFmtId="56" fontId="21" fillId="0" borderId="12" xfId="0" applyNumberFormat="1" applyFont="1" applyFill="1" applyBorder="1">
      <alignment vertical="center"/>
    </xf>
    <xf numFmtId="182" fontId="21" fillId="0" borderId="12" xfId="0" applyNumberFormat="1" applyFont="1" applyFill="1" applyBorder="1" applyAlignment="1">
      <alignment horizontal="left" vertical="center"/>
    </xf>
    <xf numFmtId="0" fontId="22" fillId="0" borderId="0" xfId="0" applyFont="1" applyFill="1">
      <alignment vertical="center"/>
    </xf>
    <xf numFmtId="0" fontId="18" fillId="9" borderId="12" xfId="0" applyFont="1" applyFill="1" applyBorder="1" applyAlignment="1">
      <alignment horizontal="left" vertical="center"/>
    </xf>
    <xf numFmtId="0" fontId="18" fillId="9" borderId="12" xfId="0" applyFont="1" applyFill="1" applyBorder="1">
      <alignment vertical="center"/>
    </xf>
    <xf numFmtId="0" fontId="18" fillId="9" borderId="12" xfId="0" applyFont="1" applyFill="1" applyBorder="1" applyAlignment="1">
      <alignment horizontal="right" vertical="center"/>
    </xf>
    <xf numFmtId="180" fontId="21" fillId="9" borderId="12" xfId="0" applyNumberFormat="1" applyFont="1" applyFill="1" applyBorder="1">
      <alignment vertical="center"/>
    </xf>
    <xf numFmtId="0" fontId="21" fillId="9" borderId="12" xfId="0" applyFont="1" applyFill="1" applyBorder="1">
      <alignment vertical="center"/>
    </xf>
    <xf numFmtId="181" fontId="21" fillId="9" borderId="12" xfId="0" applyNumberFormat="1" applyFont="1" applyFill="1" applyBorder="1">
      <alignment vertical="center"/>
    </xf>
    <xf numFmtId="181" fontId="18" fillId="9" borderId="12" xfId="0" applyNumberFormat="1" applyFont="1" applyFill="1" applyBorder="1">
      <alignment vertical="center"/>
    </xf>
    <xf numFmtId="182" fontId="18" fillId="9" borderId="12" xfId="0" applyNumberFormat="1" applyFont="1" applyFill="1" applyBorder="1" applyAlignment="1">
      <alignment horizontal="left" vertical="center"/>
    </xf>
    <xf numFmtId="0" fontId="18" fillId="0" borderId="23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7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10" borderId="12" xfId="0" applyFont="1" applyFill="1" applyBorder="1" applyAlignment="1">
      <alignment horizontal="left" vertical="center"/>
    </xf>
    <xf numFmtId="0" fontId="18" fillId="10" borderId="12" xfId="0" applyFont="1" applyFill="1" applyBorder="1">
      <alignment vertical="center"/>
    </xf>
    <xf numFmtId="56" fontId="18" fillId="10" borderId="12" xfId="0" applyNumberFormat="1" applyFont="1" applyFill="1" applyBorder="1">
      <alignment vertical="center"/>
    </xf>
    <xf numFmtId="180" fontId="21" fillId="10" borderId="12" xfId="0" applyNumberFormat="1" applyFont="1" applyFill="1" applyBorder="1">
      <alignment vertical="center"/>
    </xf>
    <xf numFmtId="0" fontId="21" fillId="10" borderId="12" xfId="0" applyFont="1" applyFill="1" applyBorder="1">
      <alignment vertical="center"/>
    </xf>
    <xf numFmtId="181" fontId="21" fillId="10" borderId="12" xfId="0" applyNumberFormat="1" applyFont="1" applyFill="1" applyBorder="1">
      <alignment vertical="center"/>
    </xf>
    <xf numFmtId="181" fontId="18" fillId="10" borderId="12" xfId="0" applyNumberFormat="1" applyFont="1" applyFill="1" applyBorder="1">
      <alignment vertical="center"/>
    </xf>
    <xf numFmtId="182" fontId="18" fillId="10" borderId="12" xfId="0" applyNumberFormat="1" applyFont="1" applyFill="1" applyBorder="1" applyAlignment="1">
      <alignment horizontal="left" vertical="center"/>
    </xf>
    <xf numFmtId="0" fontId="18" fillId="9" borderId="3" xfId="0" applyFont="1" applyFill="1" applyBorder="1" applyAlignment="1">
      <alignment horizontal="left" vertical="center"/>
    </xf>
    <xf numFmtId="0" fontId="18" fillId="9" borderId="3" xfId="0" applyFont="1" applyFill="1" applyBorder="1">
      <alignment vertical="center"/>
    </xf>
    <xf numFmtId="0" fontId="18" fillId="9" borderId="3" xfId="0" applyFont="1" applyFill="1" applyBorder="1" applyAlignment="1">
      <alignment horizontal="right" vertical="center"/>
    </xf>
    <xf numFmtId="180" fontId="21" fillId="9" borderId="3" xfId="0" applyNumberFormat="1" applyFont="1" applyFill="1" applyBorder="1">
      <alignment vertical="center"/>
    </xf>
    <xf numFmtId="0" fontId="21" fillId="9" borderId="3" xfId="0" applyFont="1" applyFill="1" applyBorder="1">
      <alignment vertical="center"/>
    </xf>
    <xf numFmtId="181" fontId="21" fillId="9" borderId="3" xfId="0" applyNumberFormat="1" applyFont="1" applyFill="1" applyBorder="1">
      <alignment vertical="center"/>
    </xf>
    <xf numFmtId="181" fontId="18" fillId="9" borderId="3" xfId="0" applyNumberFormat="1" applyFont="1" applyFill="1" applyBorder="1">
      <alignment vertical="center"/>
    </xf>
    <xf numFmtId="182" fontId="18" fillId="9" borderId="3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83" fontId="18" fillId="11" borderId="12" xfId="0" applyNumberFormat="1" applyFont="1" applyFill="1" applyBorder="1">
      <alignment vertical="center"/>
    </xf>
    <xf numFmtId="0" fontId="18" fillId="12" borderId="13" xfId="0" applyFont="1" applyFill="1" applyBorder="1" applyAlignment="1">
      <alignment horizontal="center" vertical="center"/>
    </xf>
    <xf numFmtId="184" fontId="18" fillId="12" borderId="13" xfId="0" applyNumberFormat="1" applyFont="1" applyFill="1" applyBorder="1">
      <alignment vertical="center"/>
    </xf>
    <xf numFmtId="41" fontId="18" fillId="12" borderId="13" xfId="0" applyNumberFormat="1" applyFont="1" applyFill="1" applyBorder="1">
      <alignment vertical="center"/>
    </xf>
    <xf numFmtId="41" fontId="18" fillId="12" borderId="18" xfId="0" applyNumberFormat="1" applyFont="1" applyFill="1" applyBorder="1">
      <alignment vertical="center"/>
    </xf>
    <xf numFmtId="0" fontId="18" fillId="12" borderId="13" xfId="0" applyFont="1" applyFill="1" applyBorder="1">
      <alignment vertical="center"/>
    </xf>
    <xf numFmtId="0" fontId="18" fillId="13" borderId="16" xfId="0" applyFont="1" applyFill="1" applyBorder="1" applyAlignment="1">
      <alignment horizontal="left" vertical="center"/>
    </xf>
    <xf numFmtId="186" fontId="18" fillId="13" borderId="16" xfId="0" applyNumberFormat="1" applyFont="1" applyFill="1" applyBorder="1">
      <alignment vertical="center"/>
    </xf>
    <xf numFmtId="41" fontId="18" fillId="13" borderId="16" xfId="0" applyNumberFormat="1" applyFont="1" applyFill="1" applyBorder="1">
      <alignment vertical="center"/>
    </xf>
    <xf numFmtId="181" fontId="18" fillId="13" borderId="17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EFBE9"/>
      <color rgb="FFE1F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83673</xdr:colOff>
      <xdr:row>7</xdr:row>
      <xdr:rowOff>40487</xdr:rowOff>
    </xdr:from>
    <xdr:to>
      <xdr:col>11</xdr:col>
      <xdr:colOff>821531</xdr:colOff>
      <xdr:row>12</xdr:row>
      <xdr:rowOff>50007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6876BD0-F109-40EA-A373-721F65EAEBD3}"/>
            </a:ext>
          </a:extLst>
        </xdr:cNvPr>
        <xdr:cNvGrpSpPr/>
      </xdr:nvGrpSpPr>
      <xdr:grpSpPr>
        <a:xfrm>
          <a:off x="4965236" y="2076456"/>
          <a:ext cx="2071358" cy="1140614"/>
          <a:chOff x="4971585" y="2232689"/>
          <a:chExt cx="2237542" cy="1236789"/>
        </a:xfrm>
      </xdr:grpSpPr>
      <xdr:sp macro="" textlink="">
        <xdr:nvSpPr>
          <xdr:cNvPr id="3" name="Shape 23">
            <a:extLst>
              <a:ext uri="{FF2B5EF4-FFF2-40B4-BE49-F238E27FC236}">
                <a16:creationId xmlns:a16="http://schemas.microsoft.com/office/drawing/2014/main" id="{A430BE01-664C-533B-400D-9B3730AD0FD7}"/>
              </a:ext>
            </a:extLst>
          </xdr:cNvPr>
          <xdr:cNvSpPr txBox="1"/>
        </xdr:nvSpPr>
        <xdr:spPr>
          <a:xfrm>
            <a:off x="4971585" y="2706337"/>
            <a:ext cx="2237542" cy="763141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〒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262-0048</a:t>
            </a:r>
            <a:endParaRPr sz="14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ja-JP" alt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千葉県千葉市花見川区西小中台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2-29-202</a:t>
            </a:r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TEL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/</a:t>
            </a:r>
            <a:r>
              <a:rPr lang="en-US" altLang="ja-JP" sz="800">
                <a:effectLst/>
                <a:latin typeface="+mn-lt"/>
                <a:ea typeface="+mn-ea"/>
                <a:cs typeface="+mn-cs"/>
              </a:rPr>
              <a:t>FAX：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043-375-9723</a:t>
            </a:r>
            <a:endParaRPr sz="8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900"/>
              <a:buFont typeface="Arial"/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担当  </a:t>
            </a:r>
            <a:r>
              <a:rPr lang="ja-JP" alt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千代川：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090-9630-4702</a:t>
            </a:r>
            <a:endParaRPr sz="900"/>
          </a:p>
        </xdr:txBody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016B9044-3AF6-16DC-2041-99AF662D301F}"/>
              </a:ext>
            </a:extLst>
          </xdr:cNvPr>
          <xdr:cNvGrpSpPr/>
        </xdr:nvGrpSpPr>
        <xdr:grpSpPr>
          <a:xfrm>
            <a:off x="5024139" y="2232689"/>
            <a:ext cx="1926920" cy="501536"/>
            <a:chOff x="4976514" y="2244593"/>
            <a:chExt cx="1926920" cy="501536"/>
          </a:xfrm>
        </xdr:grpSpPr>
        <xdr:pic>
          <xdr:nvPicPr>
            <xdr:cNvPr id="5" name="image1.jpg">
              <a:extLst>
                <a:ext uri="{FF2B5EF4-FFF2-40B4-BE49-F238E27FC236}">
                  <a16:creationId xmlns:a16="http://schemas.microsoft.com/office/drawing/2014/main" id="{3478576B-E57C-31E6-7B25-8D6D13B5644B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4976514" y="2244593"/>
              <a:ext cx="1537594" cy="501536"/>
            </a:xfrm>
            <a:prstGeom prst="rect">
              <a:avLst/>
            </a:prstGeom>
            <a:noFill/>
          </xdr:spPr>
        </xdr:pic>
        <xdr:pic>
          <xdr:nvPicPr>
            <xdr:cNvPr id="6" name="image2.png">
              <a:extLst>
                <a:ext uri="{FF2B5EF4-FFF2-40B4-BE49-F238E27FC236}">
                  <a16:creationId xmlns:a16="http://schemas.microsoft.com/office/drawing/2014/main" id="{98937882-9D4D-C3ED-6381-F3A458B16B1A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6440185" y="2300317"/>
              <a:ext cx="463249" cy="445810"/>
            </a:xfrm>
            <a:prstGeom prst="rect">
              <a:avLst/>
            </a:prstGeom>
            <a:noFill/>
          </xdr:spPr>
        </xdr:pic>
      </xdr:grpSp>
    </xdr:grpSp>
    <xdr:clientData fLocksWithSheet="0"/>
  </xdr:twoCellAnchor>
  <xdr:twoCellAnchor>
    <xdr:from>
      <xdr:col>20</xdr:col>
      <xdr:colOff>35719</xdr:colOff>
      <xdr:row>7</xdr:row>
      <xdr:rowOff>42073</xdr:rowOff>
    </xdr:from>
    <xdr:to>
      <xdr:col>22</xdr:col>
      <xdr:colOff>762001</xdr:colOff>
      <xdr:row>12</xdr:row>
      <xdr:rowOff>39687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16014C9-1242-4910-88AD-2A17ECE1EFF6}"/>
            </a:ext>
          </a:extLst>
        </xdr:cNvPr>
        <xdr:cNvGrpSpPr/>
      </xdr:nvGrpSpPr>
      <xdr:grpSpPr>
        <a:xfrm>
          <a:off x="12001500" y="2078042"/>
          <a:ext cx="2059782" cy="1128708"/>
          <a:chOff x="4971585" y="2244959"/>
          <a:chExt cx="2225038" cy="1224519"/>
        </a:xfrm>
      </xdr:grpSpPr>
      <xdr:sp macro="" textlink="">
        <xdr:nvSpPr>
          <xdr:cNvPr id="8" name="Shape 23">
            <a:extLst>
              <a:ext uri="{FF2B5EF4-FFF2-40B4-BE49-F238E27FC236}">
                <a16:creationId xmlns:a16="http://schemas.microsoft.com/office/drawing/2014/main" id="{E51628B0-FC83-4405-F6B6-9775686A2CF9}"/>
              </a:ext>
            </a:extLst>
          </xdr:cNvPr>
          <xdr:cNvSpPr txBox="1"/>
        </xdr:nvSpPr>
        <xdr:spPr>
          <a:xfrm>
            <a:off x="4971585" y="2706337"/>
            <a:ext cx="2225038" cy="763141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〒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262-0048</a:t>
            </a:r>
            <a:endParaRPr sz="14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ja-JP" alt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千葉県千葉市花見川区西小中台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2-29-202</a:t>
            </a:r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TEL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/</a:t>
            </a:r>
            <a:r>
              <a:rPr lang="en-US" altLang="ja-JP" sz="800">
                <a:effectLst/>
                <a:latin typeface="+mn-lt"/>
                <a:ea typeface="+mn-ea"/>
                <a:cs typeface="+mn-cs"/>
              </a:rPr>
              <a:t>FAX：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043-375-9723</a:t>
            </a:r>
            <a:endParaRPr sz="8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900"/>
              <a:buFont typeface="Arial"/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担当  </a:t>
            </a:r>
            <a:r>
              <a:rPr lang="ja-JP" alt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千代川：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090-9630-4702</a:t>
            </a:r>
            <a:endParaRPr sz="900"/>
          </a:p>
        </xdr:txBody>
      </xdr: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87194BDA-B74D-6A50-AEA3-66980BECA996}"/>
              </a:ext>
            </a:extLst>
          </xdr:cNvPr>
          <xdr:cNvGrpSpPr/>
        </xdr:nvGrpSpPr>
        <xdr:grpSpPr>
          <a:xfrm>
            <a:off x="5024139" y="2244959"/>
            <a:ext cx="1926920" cy="501536"/>
            <a:chOff x="4976514" y="2256863"/>
            <a:chExt cx="1926920" cy="501536"/>
          </a:xfrm>
        </xdr:grpSpPr>
        <xdr:pic>
          <xdr:nvPicPr>
            <xdr:cNvPr id="10" name="image1.jpg">
              <a:extLst>
                <a:ext uri="{FF2B5EF4-FFF2-40B4-BE49-F238E27FC236}">
                  <a16:creationId xmlns:a16="http://schemas.microsoft.com/office/drawing/2014/main" id="{8A6CC770-AD4F-47CF-1916-5D98932750E5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4976514" y="2256863"/>
              <a:ext cx="1537594" cy="501536"/>
            </a:xfrm>
            <a:prstGeom prst="rect">
              <a:avLst/>
            </a:prstGeom>
            <a:noFill/>
          </xdr:spPr>
        </xdr:pic>
        <xdr:pic>
          <xdr:nvPicPr>
            <xdr:cNvPr id="11" name="image2.png">
              <a:extLst>
                <a:ext uri="{FF2B5EF4-FFF2-40B4-BE49-F238E27FC236}">
                  <a16:creationId xmlns:a16="http://schemas.microsoft.com/office/drawing/2014/main" id="{0A497BAA-B102-2659-92A4-7523BC078982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6440185" y="2312587"/>
              <a:ext cx="463249" cy="445810"/>
            </a:xfrm>
            <a:prstGeom prst="rect">
              <a:avLst/>
            </a:prstGeom>
            <a:noFill/>
          </xdr:spPr>
        </xdr:pic>
      </xdr:grpSp>
    </xdr:grpSp>
    <xdr:clientData fLocksWithSheet="0"/>
  </xdr:twoCellAnchor>
  <xdr:twoCellAnchor editAs="oneCell">
    <xdr:from>
      <xdr:col>1</xdr:col>
      <xdr:colOff>95250</xdr:colOff>
      <xdr:row>77</xdr:row>
      <xdr:rowOff>96430</xdr:rowOff>
    </xdr:from>
    <xdr:to>
      <xdr:col>5</xdr:col>
      <xdr:colOff>28727</xdr:colOff>
      <xdr:row>85</xdr:row>
      <xdr:rowOff>214312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F83E2A4-804E-FFC2-9A61-B042C535C3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2547" t="26744" r="17310" b="5907"/>
        <a:stretch>
          <a:fillRect/>
        </a:stretch>
      </xdr:blipFill>
      <xdr:spPr>
        <a:xfrm>
          <a:off x="309563" y="18574930"/>
          <a:ext cx="2481414" cy="197525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83673</xdr:colOff>
      <xdr:row>7</xdr:row>
      <xdr:rowOff>40487</xdr:rowOff>
    </xdr:from>
    <xdr:to>
      <xdr:col>11</xdr:col>
      <xdr:colOff>821531</xdr:colOff>
      <xdr:row>12</xdr:row>
      <xdr:rowOff>50007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B9D40A9-9B7B-4EC9-9C6D-36EDD11A25AC}"/>
            </a:ext>
          </a:extLst>
        </xdr:cNvPr>
        <xdr:cNvGrpSpPr/>
      </xdr:nvGrpSpPr>
      <xdr:grpSpPr>
        <a:xfrm>
          <a:off x="4965236" y="2076456"/>
          <a:ext cx="2071358" cy="1140614"/>
          <a:chOff x="4971585" y="2232689"/>
          <a:chExt cx="2237542" cy="1236789"/>
        </a:xfrm>
      </xdr:grpSpPr>
      <xdr:sp macro="" textlink="">
        <xdr:nvSpPr>
          <xdr:cNvPr id="3" name="Shape 23">
            <a:extLst>
              <a:ext uri="{FF2B5EF4-FFF2-40B4-BE49-F238E27FC236}">
                <a16:creationId xmlns:a16="http://schemas.microsoft.com/office/drawing/2014/main" id="{2BEE8EFA-9A4B-4E8D-D85C-9D609F0C78D3}"/>
              </a:ext>
            </a:extLst>
          </xdr:cNvPr>
          <xdr:cNvSpPr txBox="1"/>
        </xdr:nvSpPr>
        <xdr:spPr>
          <a:xfrm>
            <a:off x="4971585" y="2706337"/>
            <a:ext cx="2237542" cy="763141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〒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262-0048</a:t>
            </a:r>
            <a:endParaRPr sz="14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ja-JP" alt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千葉県千葉市花見川区西小中台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2-29-202</a:t>
            </a:r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TEL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/</a:t>
            </a:r>
            <a:r>
              <a:rPr lang="en-US" altLang="ja-JP" sz="800">
                <a:effectLst/>
                <a:latin typeface="+mn-lt"/>
                <a:ea typeface="+mn-ea"/>
                <a:cs typeface="+mn-cs"/>
              </a:rPr>
              <a:t>FAX：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043-375-9723</a:t>
            </a:r>
            <a:endParaRPr sz="8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900"/>
              <a:buFont typeface="Arial"/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担当  </a:t>
            </a:r>
            <a:r>
              <a:rPr lang="ja-JP" alt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千代川：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090-9630-4702</a:t>
            </a:r>
            <a:endParaRPr sz="900"/>
          </a:p>
        </xdr:txBody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399DBD52-8E4F-8EF7-4A33-C541DF9318B1}"/>
              </a:ext>
            </a:extLst>
          </xdr:cNvPr>
          <xdr:cNvGrpSpPr/>
        </xdr:nvGrpSpPr>
        <xdr:grpSpPr>
          <a:xfrm>
            <a:off x="5024139" y="2232689"/>
            <a:ext cx="1926920" cy="501536"/>
            <a:chOff x="4976514" y="2244593"/>
            <a:chExt cx="1926920" cy="501536"/>
          </a:xfrm>
        </xdr:grpSpPr>
        <xdr:pic>
          <xdr:nvPicPr>
            <xdr:cNvPr id="5" name="image1.jpg">
              <a:extLst>
                <a:ext uri="{FF2B5EF4-FFF2-40B4-BE49-F238E27FC236}">
                  <a16:creationId xmlns:a16="http://schemas.microsoft.com/office/drawing/2014/main" id="{93468095-933F-6842-CCDF-A502501A6A3E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4976514" y="2244593"/>
              <a:ext cx="1537594" cy="501536"/>
            </a:xfrm>
            <a:prstGeom prst="rect">
              <a:avLst/>
            </a:prstGeom>
            <a:noFill/>
          </xdr:spPr>
        </xdr:pic>
        <xdr:pic>
          <xdr:nvPicPr>
            <xdr:cNvPr id="6" name="image2.png">
              <a:extLst>
                <a:ext uri="{FF2B5EF4-FFF2-40B4-BE49-F238E27FC236}">
                  <a16:creationId xmlns:a16="http://schemas.microsoft.com/office/drawing/2014/main" id="{38F2335A-528C-0275-5C2A-3A00C75B9E2F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6440185" y="2300317"/>
              <a:ext cx="463249" cy="445810"/>
            </a:xfrm>
            <a:prstGeom prst="rect">
              <a:avLst/>
            </a:prstGeom>
            <a:noFill/>
          </xdr:spPr>
        </xdr:pic>
      </xdr:grpSp>
    </xdr:grpSp>
    <xdr:clientData fLocksWithSheet="0"/>
  </xdr:twoCellAnchor>
  <xdr:twoCellAnchor>
    <xdr:from>
      <xdr:col>20</xdr:col>
      <xdr:colOff>35719</xdr:colOff>
      <xdr:row>7</xdr:row>
      <xdr:rowOff>42073</xdr:rowOff>
    </xdr:from>
    <xdr:to>
      <xdr:col>22</xdr:col>
      <xdr:colOff>762001</xdr:colOff>
      <xdr:row>12</xdr:row>
      <xdr:rowOff>39687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E2F6C0B5-24D1-4213-BA8C-459D0FB60EB9}"/>
            </a:ext>
          </a:extLst>
        </xdr:cNvPr>
        <xdr:cNvGrpSpPr/>
      </xdr:nvGrpSpPr>
      <xdr:grpSpPr>
        <a:xfrm>
          <a:off x="12001500" y="2078042"/>
          <a:ext cx="2059782" cy="1128708"/>
          <a:chOff x="4971585" y="2244959"/>
          <a:chExt cx="2225038" cy="1224519"/>
        </a:xfrm>
      </xdr:grpSpPr>
      <xdr:sp macro="" textlink="">
        <xdr:nvSpPr>
          <xdr:cNvPr id="8" name="Shape 23">
            <a:extLst>
              <a:ext uri="{FF2B5EF4-FFF2-40B4-BE49-F238E27FC236}">
                <a16:creationId xmlns:a16="http://schemas.microsoft.com/office/drawing/2014/main" id="{4DE8F809-0CF5-F270-8410-5D2312CB0450}"/>
              </a:ext>
            </a:extLst>
          </xdr:cNvPr>
          <xdr:cNvSpPr txBox="1"/>
        </xdr:nvSpPr>
        <xdr:spPr>
          <a:xfrm>
            <a:off x="4971585" y="2706337"/>
            <a:ext cx="2225038" cy="763141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〒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262-0048</a:t>
            </a:r>
            <a:endParaRPr sz="14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ja-JP" alt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千葉県千葉市花見川区西小中台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2-29-202</a:t>
            </a:r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TEL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/</a:t>
            </a:r>
            <a:r>
              <a:rPr lang="en-US" altLang="ja-JP" sz="800">
                <a:effectLst/>
                <a:latin typeface="+mn-lt"/>
                <a:ea typeface="+mn-ea"/>
                <a:cs typeface="+mn-cs"/>
              </a:rPr>
              <a:t>FAX：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043-375-9723</a:t>
            </a:r>
            <a:endParaRPr sz="8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900"/>
              <a:buFont typeface="Arial"/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担当  </a:t>
            </a:r>
            <a:r>
              <a:rPr lang="ja-JP" alt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千代川：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090-9630-4702</a:t>
            </a:r>
            <a:endParaRPr sz="900"/>
          </a:p>
        </xdr:txBody>
      </xdr: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20A5A2D9-911A-C5D6-FD7B-61F514B75EA8}"/>
              </a:ext>
            </a:extLst>
          </xdr:cNvPr>
          <xdr:cNvGrpSpPr/>
        </xdr:nvGrpSpPr>
        <xdr:grpSpPr>
          <a:xfrm>
            <a:off x="5024139" y="2244959"/>
            <a:ext cx="1926920" cy="501536"/>
            <a:chOff x="4976514" y="2256863"/>
            <a:chExt cx="1926920" cy="501536"/>
          </a:xfrm>
        </xdr:grpSpPr>
        <xdr:pic>
          <xdr:nvPicPr>
            <xdr:cNvPr id="10" name="image1.jpg">
              <a:extLst>
                <a:ext uri="{FF2B5EF4-FFF2-40B4-BE49-F238E27FC236}">
                  <a16:creationId xmlns:a16="http://schemas.microsoft.com/office/drawing/2014/main" id="{002A029D-2D4C-3803-66A5-3B8AB8E12570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4976514" y="2256863"/>
              <a:ext cx="1537594" cy="501536"/>
            </a:xfrm>
            <a:prstGeom prst="rect">
              <a:avLst/>
            </a:prstGeom>
            <a:noFill/>
          </xdr:spPr>
        </xdr:pic>
        <xdr:pic>
          <xdr:nvPicPr>
            <xdr:cNvPr id="11" name="image2.png">
              <a:extLst>
                <a:ext uri="{FF2B5EF4-FFF2-40B4-BE49-F238E27FC236}">
                  <a16:creationId xmlns:a16="http://schemas.microsoft.com/office/drawing/2014/main" id="{C9DA73EB-B834-3059-DD0A-231982D1BC09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6440185" y="2312587"/>
              <a:ext cx="463249" cy="445810"/>
            </a:xfrm>
            <a:prstGeom prst="rect">
              <a:avLst/>
            </a:prstGeom>
            <a:noFill/>
          </xdr:spPr>
        </xdr:pic>
      </xdr:grpSp>
    </xdr:grpSp>
    <xdr:clientData fLocksWithSheet="0"/>
  </xdr:twoCellAnchor>
  <xdr:twoCellAnchor editAs="oneCell">
    <xdr:from>
      <xdr:col>1</xdr:col>
      <xdr:colOff>107154</xdr:colOff>
      <xdr:row>77</xdr:row>
      <xdr:rowOff>72618</xdr:rowOff>
    </xdr:from>
    <xdr:to>
      <xdr:col>5</xdr:col>
      <xdr:colOff>92772</xdr:colOff>
      <xdr:row>85</xdr:row>
      <xdr:rowOff>214313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8F719EE-F5FD-4E5B-BD9D-41907CD764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26" t="26744" r="57276" b="5907"/>
        <a:stretch>
          <a:fillRect/>
        </a:stretch>
      </xdr:blipFill>
      <xdr:spPr>
        <a:xfrm>
          <a:off x="321467" y="18551118"/>
          <a:ext cx="2533555" cy="199907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83673</xdr:colOff>
      <xdr:row>7</xdr:row>
      <xdr:rowOff>40487</xdr:rowOff>
    </xdr:from>
    <xdr:to>
      <xdr:col>11</xdr:col>
      <xdr:colOff>821531</xdr:colOff>
      <xdr:row>12</xdr:row>
      <xdr:rowOff>50007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4014C8A-CFEB-4F11-9D37-9DD3235CC39C}"/>
            </a:ext>
          </a:extLst>
        </xdr:cNvPr>
        <xdr:cNvGrpSpPr/>
      </xdr:nvGrpSpPr>
      <xdr:grpSpPr>
        <a:xfrm>
          <a:off x="4965236" y="2076456"/>
          <a:ext cx="2071358" cy="1140614"/>
          <a:chOff x="4971585" y="2232689"/>
          <a:chExt cx="2237542" cy="1236789"/>
        </a:xfrm>
      </xdr:grpSpPr>
      <xdr:sp macro="" textlink="">
        <xdr:nvSpPr>
          <xdr:cNvPr id="3" name="Shape 23">
            <a:extLst>
              <a:ext uri="{FF2B5EF4-FFF2-40B4-BE49-F238E27FC236}">
                <a16:creationId xmlns:a16="http://schemas.microsoft.com/office/drawing/2014/main" id="{F034B8A9-EBAC-2715-329A-40BBB7A47B8D}"/>
              </a:ext>
            </a:extLst>
          </xdr:cNvPr>
          <xdr:cNvSpPr txBox="1"/>
        </xdr:nvSpPr>
        <xdr:spPr>
          <a:xfrm>
            <a:off x="4971585" y="2706337"/>
            <a:ext cx="2237542" cy="763141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〒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262-0048</a:t>
            </a:r>
            <a:endParaRPr sz="14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ja-JP" alt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千葉県千葉市花見川区西小中台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2-29-202</a:t>
            </a:r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TEL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/</a:t>
            </a:r>
            <a:r>
              <a:rPr lang="en-US" altLang="ja-JP" sz="800">
                <a:effectLst/>
                <a:latin typeface="+mn-lt"/>
                <a:ea typeface="+mn-ea"/>
                <a:cs typeface="+mn-cs"/>
              </a:rPr>
              <a:t>FAX：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043-375-9723</a:t>
            </a:r>
            <a:endParaRPr sz="8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900"/>
              <a:buFont typeface="Arial"/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担当  </a:t>
            </a:r>
            <a:r>
              <a:rPr lang="ja-JP" alt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千代川：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090-9630-4702</a:t>
            </a:r>
            <a:endParaRPr sz="900"/>
          </a:p>
        </xdr:txBody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7B41AE87-91EC-A238-3CC6-4EF5BE65BCB1}"/>
              </a:ext>
            </a:extLst>
          </xdr:cNvPr>
          <xdr:cNvGrpSpPr/>
        </xdr:nvGrpSpPr>
        <xdr:grpSpPr>
          <a:xfrm>
            <a:off x="5024139" y="2232689"/>
            <a:ext cx="1926920" cy="501536"/>
            <a:chOff x="4976514" y="2244593"/>
            <a:chExt cx="1926920" cy="501536"/>
          </a:xfrm>
        </xdr:grpSpPr>
        <xdr:pic>
          <xdr:nvPicPr>
            <xdr:cNvPr id="5" name="image1.jpg">
              <a:extLst>
                <a:ext uri="{FF2B5EF4-FFF2-40B4-BE49-F238E27FC236}">
                  <a16:creationId xmlns:a16="http://schemas.microsoft.com/office/drawing/2014/main" id="{ABC8E38D-A115-06AA-4AAE-58CC5167E79C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4976514" y="2244593"/>
              <a:ext cx="1537594" cy="501536"/>
            </a:xfrm>
            <a:prstGeom prst="rect">
              <a:avLst/>
            </a:prstGeom>
            <a:noFill/>
          </xdr:spPr>
        </xdr:pic>
        <xdr:pic>
          <xdr:nvPicPr>
            <xdr:cNvPr id="6" name="image2.png">
              <a:extLst>
                <a:ext uri="{FF2B5EF4-FFF2-40B4-BE49-F238E27FC236}">
                  <a16:creationId xmlns:a16="http://schemas.microsoft.com/office/drawing/2014/main" id="{29BA34BF-BACC-DD9A-B20B-C5941314A302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6440185" y="2300317"/>
              <a:ext cx="463249" cy="445810"/>
            </a:xfrm>
            <a:prstGeom prst="rect">
              <a:avLst/>
            </a:prstGeom>
            <a:noFill/>
          </xdr:spPr>
        </xdr:pic>
      </xdr:grpSp>
    </xdr:grpSp>
    <xdr:clientData fLocksWithSheet="0"/>
  </xdr:twoCellAnchor>
  <xdr:twoCellAnchor>
    <xdr:from>
      <xdr:col>20</xdr:col>
      <xdr:colOff>35719</xdr:colOff>
      <xdr:row>7</xdr:row>
      <xdr:rowOff>42073</xdr:rowOff>
    </xdr:from>
    <xdr:to>
      <xdr:col>22</xdr:col>
      <xdr:colOff>762001</xdr:colOff>
      <xdr:row>12</xdr:row>
      <xdr:rowOff>39687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6A024449-CB42-4F88-A9E1-3DA562E2EC2E}"/>
            </a:ext>
          </a:extLst>
        </xdr:cNvPr>
        <xdr:cNvGrpSpPr/>
      </xdr:nvGrpSpPr>
      <xdr:grpSpPr>
        <a:xfrm>
          <a:off x="12001500" y="2078042"/>
          <a:ext cx="2059782" cy="1128708"/>
          <a:chOff x="4971585" y="2244959"/>
          <a:chExt cx="2225038" cy="1224519"/>
        </a:xfrm>
      </xdr:grpSpPr>
      <xdr:sp macro="" textlink="">
        <xdr:nvSpPr>
          <xdr:cNvPr id="8" name="Shape 23">
            <a:extLst>
              <a:ext uri="{FF2B5EF4-FFF2-40B4-BE49-F238E27FC236}">
                <a16:creationId xmlns:a16="http://schemas.microsoft.com/office/drawing/2014/main" id="{E8B70423-3DC4-1AF9-D7D3-66147B4F4C6D}"/>
              </a:ext>
            </a:extLst>
          </xdr:cNvPr>
          <xdr:cNvSpPr txBox="1"/>
        </xdr:nvSpPr>
        <xdr:spPr>
          <a:xfrm>
            <a:off x="4971585" y="2706337"/>
            <a:ext cx="2225038" cy="763141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〒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262-0048</a:t>
            </a:r>
            <a:endParaRPr sz="14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ja-JP" alt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千葉県千葉市花見川区西小中台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2-29-202</a:t>
            </a:r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TEL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/</a:t>
            </a:r>
            <a:r>
              <a:rPr lang="en-US" altLang="ja-JP" sz="800">
                <a:effectLst/>
                <a:latin typeface="+mn-lt"/>
                <a:ea typeface="+mn-ea"/>
                <a:cs typeface="+mn-cs"/>
              </a:rPr>
              <a:t>FAX：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043-375-9723</a:t>
            </a:r>
            <a:endParaRPr sz="8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900"/>
              <a:buFont typeface="Arial"/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担当  </a:t>
            </a:r>
            <a:r>
              <a:rPr lang="ja-JP" alt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千代川：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090-9630-4702</a:t>
            </a:r>
            <a:endParaRPr sz="900"/>
          </a:p>
        </xdr:txBody>
      </xdr: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BEDAA33D-EB8F-9D8C-8E31-28CF966978FF}"/>
              </a:ext>
            </a:extLst>
          </xdr:cNvPr>
          <xdr:cNvGrpSpPr/>
        </xdr:nvGrpSpPr>
        <xdr:grpSpPr>
          <a:xfrm>
            <a:off x="5024139" y="2244959"/>
            <a:ext cx="1926920" cy="501536"/>
            <a:chOff x="4976514" y="2256863"/>
            <a:chExt cx="1926920" cy="501536"/>
          </a:xfrm>
        </xdr:grpSpPr>
        <xdr:pic>
          <xdr:nvPicPr>
            <xdr:cNvPr id="10" name="image1.jpg">
              <a:extLst>
                <a:ext uri="{FF2B5EF4-FFF2-40B4-BE49-F238E27FC236}">
                  <a16:creationId xmlns:a16="http://schemas.microsoft.com/office/drawing/2014/main" id="{F46536E1-582D-7EEB-43C3-480A3FBD9C02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4976514" y="2256863"/>
              <a:ext cx="1537594" cy="501536"/>
            </a:xfrm>
            <a:prstGeom prst="rect">
              <a:avLst/>
            </a:prstGeom>
            <a:noFill/>
          </xdr:spPr>
        </xdr:pic>
        <xdr:pic>
          <xdr:nvPicPr>
            <xdr:cNvPr id="11" name="image2.png">
              <a:extLst>
                <a:ext uri="{FF2B5EF4-FFF2-40B4-BE49-F238E27FC236}">
                  <a16:creationId xmlns:a16="http://schemas.microsoft.com/office/drawing/2014/main" id="{A8122539-752B-C286-1B77-8B038D05F4DC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6440185" y="2312587"/>
              <a:ext cx="463249" cy="445810"/>
            </a:xfrm>
            <a:prstGeom prst="rect">
              <a:avLst/>
            </a:prstGeom>
            <a:noFill/>
          </xdr:spPr>
        </xdr:pic>
      </xdr:grpSp>
    </xdr:grpSp>
    <xdr:clientData fLocksWithSheet="0"/>
  </xdr:twoCellAnchor>
  <xdr:twoCellAnchor editAs="oneCell">
    <xdr:from>
      <xdr:col>1</xdr:col>
      <xdr:colOff>35719</xdr:colOff>
      <xdr:row>75</xdr:row>
      <xdr:rowOff>83343</xdr:rowOff>
    </xdr:from>
    <xdr:to>
      <xdr:col>5</xdr:col>
      <xdr:colOff>202409</xdr:colOff>
      <xdr:row>84</xdr:row>
      <xdr:rowOff>141692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2825D89-FB19-44FA-9B8A-4977DFA76D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26" t="26744" r="57276" b="5907"/>
        <a:stretch>
          <a:fillRect/>
        </a:stretch>
      </xdr:blipFill>
      <xdr:spPr>
        <a:xfrm>
          <a:off x="250032" y="18085593"/>
          <a:ext cx="2714627" cy="214194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1</xdr:col>
      <xdr:colOff>130968</xdr:colOff>
      <xdr:row>76</xdr:row>
      <xdr:rowOff>178595</xdr:rowOff>
    </xdr:from>
    <xdr:to>
      <xdr:col>4</xdr:col>
      <xdr:colOff>261937</xdr:colOff>
      <xdr:row>83</xdr:row>
      <xdr:rowOff>214313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D395920-79F1-4CA5-9784-BBD60A86E3EE}"/>
            </a:ext>
          </a:extLst>
        </xdr:cNvPr>
        <xdr:cNvSpPr/>
      </xdr:nvSpPr>
      <xdr:spPr>
        <a:xfrm>
          <a:off x="345281" y="18418970"/>
          <a:ext cx="2047875" cy="1654968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83673</xdr:colOff>
      <xdr:row>7</xdr:row>
      <xdr:rowOff>40487</xdr:rowOff>
    </xdr:from>
    <xdr:to>
      <xdr:col>11</xdr:col>
      <xdr:colOff>821531</xdr:colOff>
      <xdr:row>12</xdr:row>
      <xdr:rowOff>50007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FCC53EA-6E9A-420C-A1A4-80CD3D5219AC}"/>
            </a:ext>
          </a:extLst>
        </xdr:cNvPr>
        <xdr:cNvGrpSpPr/>
      </xdr:nvGrpSpPr>
      <xdr:grpSpPr>
        <a:xfrm>
          <a:off x="4965236" y="2076456"/>
          <a:ext cx="2071358" cy="1140614"/>
          <a:chOff x="4971585" y="2232689"/>
          <a:chExt cx="2237542" cy="1236789"/>
        </a:xfrm>
      </xdr:grpSpPr>
      <xdr:sp macro="" textlink="">
        <xdr:nvSpPr>
          <xdr:cNvPr id="3" name="Shape 23">
            <a:extLst>
              <a:ext uri="{FF2B5EF4-FFF2-40B4-BE49-F238E27FC236}">
                <a16:creationId xmlns:a16="http://schemas.microsoft.com/office/drawing/2014/main" id="{2662CDC7-4378-5F3D-5DC3-B5921417AB29}"/>
              </a:ext>
            </a:extLst>
          </xdr:cNvPr>
          <xdr:cNvSpPr txBox="1"/>
        </xdr:nvSpPr>
        <xdr:spPr>
          <a:xfrm>
            <a:off x="4971585" y="2706337"/>
            <a:ext cx="2237542" cy="763141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〒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262-0048</a:t>
            </a:r>
            <a:endParaRPr sz="14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ja-JP" alt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千葉県千葉市花見川区西小中台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2-29-202</a:t>
            </a:r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TEL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/</a:t>
            </a:r>
            <a:r>
              <a:rPr lang="en-US" altLang="ja-JP" sz="800">
                <a:effectLst/>
                <a:latin typeface="+mn-lt"/>
                <a:ea typeface="+mn-ea"/>
                <a:cs typeface="+mn-cs"/>
              </a:rPr>
              <a:t>FAX：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043-375-9723</a:t>
            </a:r>
            <a:endParaRPr sz="8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900"/>
              <a:buFont typeface="Arial"/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担当  </a:t>
            </a:r>
            <a:r>
              <a:rPr lang="ja-JP" alt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千代川：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090-9630-4702</a:t>
            </a:r>
            <a:endParaRPr sz="900"/>
          </a:p>
        </xdr:txBody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9E635475-7A3A-44AC-9D93-EE2B932875C4}"/>
              </a:ext>
            </a:extLst>
          </xdr:cNvPr>
          <xdr:cNvGrpSpPr/>
        </xdr:nvGrpSpPr>
        <xdr:grpSpPr>
          <a:xfrm>
            <a:off x="5024139" y="2232689"/>
            <a:ext cx="1926920" cy="501536"/>
            <a:chOff x="4976514" y="2244593"/>
            <a:chExt cx="1926920" cy="501536"/>
          </a:xfrm>
        </xdr:grpSpPr>
        <xdr:pic>
          <xdr:nvPicPr>
            <xdr:cNvPr id="5" name="image1.jpg">
              <a:extLst>
                <a:ext uri="{FF2B5EF4-FFF2-40B4-BE49-F238E27FC236}">
                  <a16:creationId xmlns:a16="http://schemas.microsoft.com/office/drawing/2014/main" id="{BB282CB1-C428-1F8C-2FD5-3BB87FABB8AD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4976514" y="2244593"/>
              <a:ext cx="1537594" cy="501536"/>
            </a:xfrm>
            <a:prstGeom prst="rect">
              <a:avLst/>
            </a:prstGeom>
            <a:noFill/>
          </xdr:spPr>
        </xdr:pic>
        <xdr:pic>
          <xdr:nvPicPr>
            <xdr:cNvPr id="6" name="image2.png">
              <a:extLst>
                <a:ext uri="{FF2B5EF4-FFF2-40B4-BE49-F238E27FC236}">
                  <a16:creationId xmlns:a16="http://schemas.microsoft.com/office/drawing/2014/main" id="{BA546350-9703-93D8-3126-C34D8CBA0A90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6440185" y="2300317"/>
              <a:ext cx="463249" cy="445810"/>
            </a:xfrm>
            <a:prstGeom prst="rect">
              <a:avLst/>
            </a:prstGeom>
            <a:noFill/>
          </xdr:spPr>
        </xdr:pic>
      </xdr:grpSp>
    </xdr:grpSp>
    <xdr:clientData fLocksWithSheet="0"/>
  </xdr:twoCellAnchor>
  <xdr:twoCellAnchor>
    <xdr:from>
      <xdr:col>20</xdr:col>
      <xdr:colOff>35719</xdr:colOff>
      <xdr:row>7</xdr:row>
      <xdr:rowOff>42073</xdr:rowOff>
    </xdr:from>
    <xdr:to>
      <xdr:col>22</xdr:col>
      <xdr:colOff>762001</xdr:colOff>
      <xdr:row>12</xdr:row>
      <xdr:rowOff>39687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12633C48-D839-4044-932E-6714CE00CE26}"/>
            </a:ext>
          </a:extLst>
        </xdr:cNvPr>
        <xdr:cNvGrpSpPr/>
      </xdr:nvGrpSpPr>
      <xdr:grpSpPr>
        <a:xfrm>
          <a:off x="12001500" y="2078042"/>
          <a:ext cx="2059782" cy="1128708"/>
          <a:chOff x="4971585" y="2244959"/>
          <a:chExt cx="2225038" cy="1224519"/>
        </a:xfrm>
      </xdr:grpSpPr>
      <xdr:sp macro="" textlink="">
        <xdr:nvSpPr>
          <xdr:cNvPr id="8" name="Shape 23">
            <a:extLst>
              <a:ext uri="{FF2B5EF4-FFF2-40B4-BE49-F238E27FC236}">
                <a16:creationId xmlns:a16="http://schemas.microsoft.com/office/drawing/2014/main" id="{5C401EFE-DB3F-E1BF-2DCA-EB0B0DD2C8B3}"/>
              </a:ext>
            </a:extLst>
          </xdr:cNvPr>
          <xdr:cNvSpPr txBox="1"/>
        </xdr:nvSpPr>
        <xdr:spPr>
          <a:xfrm>
            <a:off x="4971585" y="2706337"/>
            <a:ext cx="2225038" cy="763141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〒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262-0048</a:t>
            </a:r>
            <a:endParaRPr sz="14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ja-JP" alt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千葉県千葉市花見川区西小中台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2-29-202</a:t>
            </a:r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TEL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/</a:t>
            </a:r>
            <a:r>
              <a:rPr lang="en-US" altLang="ja-JP" sz="800">
                <a:effectLst/>
                <a:latin typeface="+mn-lt"/>
                <a:ea typeface="+mn-ea"/>
                <a:cs typeface="+mn-cs"/>
              </a:rPr>
              <a:t>FAX：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043-375-9723</a:t>
            </a:r>
            <a:endParaRPr sz="8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900"/>
              <a:buFont typeface="Arial"/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担当  </a:t>
            </a:r>
            <a:r>
              <a:rPr lang="ja-JP" alt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千代川：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090-9630-4702</a:t>
            </a:r>
            <a:endParaRPr sz="900"/>
          </a:p>
        </xdr:txBody>
      </xdr: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A7C87B10-E70C-941C-F096-1BB636859866}"/>
              </a:ext>
            </a:extLst>
          </xdr:cNvPr>
          <xdr:cNvGrpSpPr/>
        </xdr:nvGrpSpPr>
        <xdr:grpSpPr>
          <a:xfrm>
            <a:off x="5024139" y="2244959"/>
            <a:ext cx="1926920" cy="501536"/>
            <a:chOff x="4976514" y="2256863"/>
            <a:chExt cx="1926920" cy="501536"/>
          </a:xfrm>
        </xdr:grpSpPr>
        <xdr:pic>
          <xdr:nvPicPr>
            <xdr:cNvPr id="10" name="image1.jpg">
              <a:extLst>
                <a:ext uri="{FF2B5EF4-FFF2-40B4-BE49-F238E27FC236}">
                  <a16:creationId xmlns:a16="http://schemas.microsoft.com/office/drawing/2014/main" id="{69BD98E3-8445-3708-B97D-D84EF285E790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4976514" y="2256863"/>
              <a:ext cx="1537594" cy="501536"/>
            </a:xfrm>
            <a:prstGeom prst="rect">
              <a:avLst/>
            </a:prstGeom>
            <a:noFill/>
          </xdr:spPr>
        </xdr:pic>
        <xdr:pic>
          <xdr:nvPicPr>
            <xdr:cNvPr id="11" name="image2.png">
              <a:extLst>
                <a:ext uri="{FF2B5EF4-FFF2-40B4-BE49-F238E27FC236}">
                  <a16:creationId xmlns:a16="http://schemas.microsoft.com/office/drawing/2014/main" id="{33209C1B-440B-313D-F7CC-462258E470DB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6440185" y="2312587"/>
              <a:ext cx="463249" cy="445810"/>
            </a:xfrm>
            <a:prstGeom prst="rect">
              <a:avLst/>
            </a:prstGeom>
            <a:noFill/>
          </xdr:spPr>
        </xdr:pic>
      </xdr:grpSp>
    </xdr:grpSp>
    <xdr:clientData fLocksWithSheet="0"/>
  </xdr:twoCellAnchor>
  <xdr:twoCellAnchor editAs="oneCell">
    <xdr:from>
      <xdr:col>0</xdr:col>
      <xdr:colOff>209384</xdr:colOff>
      <xdr:row>77</xdr:row>
      <xdr:rowOff>4930</xdr:rowOff>
    </xdr:from>
    <xdr:to>
      <xdr:col>7</xdr:col>
      <xdr:colOff>5129</xdr:colOff>
      <xdr:row>83</xdr:row>
      <xdr:rowOff>40848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4084A6A-0834-772C-1951-D208E519C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404938" y="17287876"/>
          <a:ext cx="1428949" cy="38200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83673</xdr:colOff>
      <xdr:row>7</xdr:row>
      <xdr:rowOff>40487</xdr:rowOff>
    </xdr:from>
    <xdr:to>
      <xdr:col>11</xdr:col>
      <xdr:colOff>821531</xdr:colOff>
      <xdr:row>12</xdr:row>
      <xdr:rowOff>50007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7016B10-CC97-4D94-A3F9-4ACF9D40579A}"/>
            </a:ext>
          </a:extLst>
        </xdr:cNvPr>
        <xdr:cNvGrpSpPr/>
      </xdr:nvGrpSpPr>
      <xdr:grpSpPr>
        <a:xfrm>
          <a:off x="4965236" y="2076456"/>
          <a:ext cx="2071358" cy="1140614"/>
          <a:chOff x="4971585" y="2232689"/>
          <a:chExt cx="2237542" cy="1236789"/>
        </a:xfrm>
      </xdr:grpSpPr>
      <xdr:sp macro="" textlink="">
        <xdr:nvSpPr>
          <xdr:cNvPr id="3" name="Shape 23">
            <a:extLst>
              <a:ext uri="{FF2B5EF4-FFF2-40B4-BE49-F238E27FC236}">
                <a16:creationId xmlns:a16="http://schemas.microsoft.com/office/drawing/2014/main" id="{1483E4CD-6764-EFA2-25D6-936364A74D50}"/>
              </a:ext>
            </a:extLst>
          </xdr:cNvPr>
          <xdr:cNvSpPr txBox="1"/>
        </xdr:nvSpPr>
        <xdr:spPr>
          <a:xfrm>
            <a:off x="4971585" y="2706337"/>
            <a:ext cx="2237542" cy="763141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〒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262-0048</a:t>
            </a:r>
            <a:endParaRPr sz="14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ja-JP" alt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千葉県千葉市花見川区西小中台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2-29-202</a:t>
            </a:r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TEL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/</a:t>
            </a:r>
            <a:r>
              <a:rPr lang="en-US" altLang="ja-JP" sz="800">
                <a:effectLst/>
                <a:latin typeface="+mn-lt"/>
                <a:ea typeface="+mn-ea"/>
                <a:cs typeface="+mn-cs"/>
              </a:rPr>
              <a:t>FAX：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043-375-9723</a:t>
            </a:r>
            <a:endParaRPr sz="8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900"/>
              <a:buFont typeface="Arial"/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担当  </a:t>
            </a:r>
            <a:r>
              <a:rPr lang="ja-JP" alt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千代川：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090-9630-4702</a:t>
            </a:r>
            <a:endParaRPr sz="900"/>
          </a:p>
        </xdr:txBody>
      </xdr:sp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4D040CCD-145E-5426-0399-C9F83499D5C8}"/>
              </a:ext>
            </a:extLst>
          </xdr:cNvPr>
          <xdr:cNvGrpSpPr/>
        </xdr:nvGrpSpPr>
        <xdr:grpSpPr>
          <a:xfrm>
            <a:off x="5024139" y="2232689"/>
            <a:ext cx="1926920" cy="501536"/>
            <a:chOff x="4976514" y="2244593"/>
            <a:chExt cx="1926920" cy="501536"/>
          </a:xfrm>
        </xdr:grpSpPr>
        <xdr:pic>
          <xdr:nvPicPr>
            <xdr:cNvPr id="5" name="image1.jpg">
              <a:extLst>
                <a:ext uri="{FF2B5EF4-FFF2-40B4-BE49-F238E27FC236}">
                  <a16:creationId xmlns:a16="http://schemas.microsoft.com/office/drawing/2014/main" id="{83CD436F-CDED-55B7-57C9-3D808F75225E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4976514" y="2244593"/>
              <a:ext cx="1537594" cy="501536"/>
            </a:xfrm>
            <a:prstGeom prst="rect">
              <a:avLst/>
            </a:prstGeom>
            <a:noFill/>
          </xdr:spPr>
        </xdr:pic>
        <xdr:pic>
          <xdr:nvPicPr>
            <xdr:cNvPr id="6" name="image2.png">
              <a:extLst>
                <a:ext uri="{FF2B5EF4-FFF2-40B4-BE49-F238E27FC236}">
                  <a16:creationId xmlns:a16="http://schemas.microsoft.com/office/drawing/2014/main" id="{F8F6771D-FE70-E609-93B0-651DED25A432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6440185" y="2300317"/>
              <a:ext cx="463249" cy="445810"/>
            </a:xfrm>
            <a:prstGeom prst="rect">
              <a:avLst/>
            </a:prstGeom>
            <a:noFill/>
          </xdr:spPr>
        </xdr:pic>
      </xdr:grpSp>
    </xdr:grpSp>
    <xdr:clientData fLocksWithSheet="0"/>
  </xdr:twoCellAnchor>
  <xdr:twoCellAnchor>
    <xdr:from>
      <xdr:col>20</xdr:col>
      <xdr:colOff>35719</xdr:colOff>
      <xdr:row>7</xdr:row>
      <xdr:rowOff>42073</xdr:rowOff>
    </xdr:from>
    <xdr:to>
      <xdr:col>22</xdr:col>
      <xdr:colOff>762001</xdr:colOff>
      <xdr:row>12</xdr:row>
      <xdr:rowOff>39687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0C24B990-0952-4B6E-9D01-AC4EBCAA8DC0}"/>
            </a:ext>
          </a:extLst>
        </xdr:cNvPr>
        <xdr:cNvGrpSpPr/>
      </xdr:nvGrpSpPr>
      <xdr:grpSpPr>
        <a:xfrm>
          <a:off x="12001500" y="2078042"/>
          <a:ext cx="2059782" cy="1128708"/>
          <a:chOff x="4971585" y="2244959"/>
          <a:chExt cx="2225038" cy="1224519"/>
        </a:xfrm>
      </xdr:grpSpPr>
      <xdr:sp macro="" textlink="">
        <xdr:nvSpPr>
          <xdr:cNvPr id="8" name="Shape 23">
            <a:extLst>
              <a:ext uri="{FF2B5EF4-FFF2-40B4-BE49-F238E27FC236}">
                <a16:creationId xmlns:a16="http://schemas.microsoft.com/office/drawing/2014/main" id="{FAD75206-5CB2-E91E-83B1-53863B1981DB}"/>
              </a:ext>
            </a:extLst>
          </xdr:cNvPr>
          <xdr:cNvSpPr txBox="1"/>
        </xdr:nvSpPr>
        <xdr:spPr>
          <a:xfrm>
            <a:off x="4971585" y="2706337"/>
            <a:ext cx="2225038" cy="763141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〒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262-0048</a:t>
            </a:r>
            <a:endParaRPr sz="1400"/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ja-JP" alt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千葉県千葉市花見川区西小中台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2-29-202</a:t>
            </a:r>
          </a:p>
          <a:p>
            <a:pPr marL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TEL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/</a:t>
            </a:r>
            <a:r>
              <a:rPr lang="en-US" altLang="ja-JP" sz="800">
                <a:effectLst/>
                <a:latin typeface="+mn-lt"/>
                <a:ea typeface="+mn-ea"/>
                <a:cs typeface="+mn-cs"/>
              </a:rPr>
              <a:t>FAX：</a:t>
            </a:r>
            <a:r>
              <a:rPr lang="en-US" altLang="ja-JP" sz="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043-375-9723</a:t>
            </a:r>
            <a:endParaRPr sz="8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900"/>
              <a:buFont typeface="Arial"/>
              <a:buNone/>
            </a:pPr>
            <a:r>
              <a:rPr 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担当  </a:t>
            </a:r>
            <a:r>
              <a:rPr lang="ja-JP" altLang="en-US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千代川：</a:t>
            </a:r>
            <a:r>
              <a:rPr lang="en-US" altLang="ja-JP" sz="9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090-9630-4702</a:t>
            </a:r>
            <a:endParaRPr sz="900"/>
          </a:p>
        </xdr:txBody>
      </xdr: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57E000C5-94A5-3CF6-348A-820D9B60AB59}"/>
              </a:ext>
            </a:extLst>
          </xdr:cNvPr>
          <xdr:cNvGrpSpPr/>
        </xdr:nvGrpSpPr>
        <xdr:grpSpPr>
          <a:xfrm>
            <a:off x="5024139" y="2244959"/>
            <a:ext cx="1926920" cy="501536"/>
            <a:chOff x="4976514" y="2256863"/>
            <a:chExt cx="1926920" cy="501536"/>
          </a:xfrm>
        </xdr:grpSpPr>
        <xdr:pic>
          <xdr:nvPicPr>
            <xdr:cNvPr id="10" name="image1.jpg">
              <a:extLst>
                <a:ext uri="{FF2B5EF4-FFF2-40B4-BE49-F238E27FC236}">
                  <a16:creationId xmlns:a16="http://schemas.microsoft.com/office/drawing/2014/main" id="{513FBDA6-E6D5-999B-AAEB-784FFCA14F7A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4976514" y="2256863"/>
              <a:ext cx="1537594" cy="501536"/>
            </a:xfrm>
            <a:prstGeom prst="rect">
              <a:avLst/>
            </a:prstGeom>
            <a:noFill/>
          </xdr:spPr>
        </xdr:pic>
        <xdr:pic>
          <xdr:nvPicPr>
            <xdr:cNvPr id="11" name="image2.png">
              <a:extLst>
                <a:ext uri="{FF2B5EF4-FFF2-40B4-BE49-F238E27FC236}">
                  <a16:creationId xmlns:a16="http://schemas.microsoft.com/office/drawing/2014/main" id="{AF351194-A179-622E-AA9B-0A23D9B32A4A}"/>
                </a:ext>
              </a:extLst>
            </xdr:cNvPr>
            <xdr:cNvPicPr preferRelativeResize="0"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6440185" y="2312587"/>
              <a:ext cx="463249" cy="445810"/>
            </a:xfrm>
            <a:prstGeom prst="rect">
              <a:avLst/>
            </a:prstGeom>
            <a:noFill/>
          </xdr:spPr>
        </xdr:pic>
      </xdr:grpSp>
    </xdr:grpSp>
    <xdr:clientData fLocksWithSheet="0"/>
  </xdr:twoCellAnchor>
  <xdr:twoCellAnchor>
    <xdr:from>
      <xdr:col>0</xdr:col>
      <xdr:colOff>209385</xdr:colOff>
      <xdr:row>77</xdr:row>
      <xdr:rowOff>16834</xdr:rowOff>
    </xdr:from>
    <xdr:to>
      <xdr:col>7</xdr:col>
      <xdr:colOff>5130</xdr:colOff>
      <xdr:row>83</xdr:row>
      <xdr:rowOff>52752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4C9A7002-BA50-766A-D956-8171F8204018}"/>
            </a:ext>
          </a:extLst>
        </xdr:cNvPr>
        <xdr:cNvGrpSpPr/>
      </xdr:nvGrpSpPr>
      <xdr:grpSpPr>
        <a:xfrm>
          <a:off x="209385" y="18495334"/>
          <a:ext cx="3820058" cy="1428949"/>
          <a:chOff x="209385" y="18495334"/>
          <a:chExt cx="3820058" cy="1428949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862F621A-110B-EC36-2862-DAAE0A7451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5400000">
            <a:off x="1404939" y="17299780"/>
            <a:ext cx="1428949" cy="3820058"/>
          </a:xfrm>
          <a:prstGeom prst="rect">
            <a:avLst/>
          </a:prstGeom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55B36780-A192-CA17-2989-135829D50322}"/>
              </a:ext>
            </a:extLst>
          </xdr:cNvPr>
          <xdr:cNvSpPr/>
        </xdr:nvSpPr>
        <xdr:spPr>
          <a:xfrm>
            <a:off x="1142999" y="18621375"/>
            <a:ext cx="2726531" cy="1178719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DB6DF8C8-EE58-4664-B7F8-FEDCD5C6171C}"/>
              </a:ext>
            </a:extLst>
          </xdr:cNvPr>
          <xdr:cNvSpPr/>
        </xdr:nvSpPr>
        <xdr:spPr>
          <a:xfrm>
            <a:off x="854868" y="18618995"/>
            <a:ext cx="812007" cy="633412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:\Users\&#25216;&#34899;&#12398;&#26460;&#12288;&#21315;&#20195;&#24029;\Desktop\&#12459;&#12524;&#12531;&#12480;&#12540;&#65288;&#26085;&#22577;&#65289;.xlsx" TargetMode="External"/><Relationship Id="rId1" Type="http://schemas.openxmlformats.org/officeDocument/2006/relationships/externalLinkPath" Target="https://d.docs.live.net/Users/&#25216;&#34899;&#12398;&#26460;&#12288;&#21315;&#20195;&#24029;/Desktop/&#12459;&#12524;&#12531;&#12480;&#12540;&#65288;&#26085;&#22577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9632;&#19971;&#23614;&#12289;&#20013;&#33021;&#30331;&#12289;&#31348;&#27700;&#12289;&#36650;&#23798;&#12289;&#33021;&#30331;&#30010;\&#9632;&#9632;&#21315;&#12398;&#39080;&#12503;&#12525;&#12472;&#12455;&#12463;&#12488;\&#9632;&#9632;20260713&#25240;&#12426;&#30067;&#12415;&#26041;&#12454;&#12451;&#12531;&#12464;&#35211;&#31309;&#26360;.xlsx" TargetMode="External"/><Relationship Id="rId1" Type="http://schemas.openxmlformats.org/officeDocument/2006/relationships/externalLinkPath" Target="&#9632;&#9632;20260713&#25240;&#12426;&#30067;&#12415;&#26041;&#12454;&#12451;&#12531;&#12464;&#35211;&#31309;&#26360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ceddd98053b0bc2/&#9734;&#12288;&#21315;&#21407;&#24037;&#21209;&#24215;/&#9734;&#12288;&#33021;&#30331;&#22320;&#38663;/&#9733;&#12288;&#35336;&#25968;&#31649;&#29702;/10&#12288;&#35211;&#31309;&#12288;&#30707;&#24029;&#21942;&#26989;&#25152;.xlsx" TargetMode="External"/><Relationship Id="rId1" Type="http://schemas.openxmlformats.org/officeDocument/2006/relationships/externalLinkPath" Target="https://d.docs.live.net/cceddd98053b0bc2/&#9734;&#12288;&#21315;&#21407;&#24037;&#21209;&#24215;/&#9734;&#12288;&#33021;&#30331;&#22320;&#38663;/&#9733;&#12288;&#35336;&#25968;&#31649;&#29702;/10&#12288;&#35211;&#31309;&#12288;&#30707;&#24029;&#21942;&#26989;&#25152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ceddd98053b0bc2/&#9734;&#12288;&#21315;&#21407;&#24037;&#21209;&#24215;/&#9734;&#12288;&#33021;&#30331;&#22320;&#38663;/&#9733;&#12288;&#35336;&#25968;&#31649;&#29702;/10&#12288;&#35211;&#31309;&#12288;&#30707;&#24029;&#21942;&#26989;&#25152;.xlsx" TargetMode="External"/><Relationship Id="rId1" Type="http://schemas.openxmlformats.org/officeDocument/2006/relationships/externalLinkPath" Target="https://d.docs.live.net/personal/chihara_koumuten355_koumutenchihara_onmicrosoft_com/Documents/&#9733;&#12288;&#35336;&#25968;&#31649;&#29702;/&#9734;&#12288;&#21315;&#21407;&#24037;&#21209;&#24215;/&#9734;&#12288;&#33021;&#30331;&#22320;&#38663;/&#9733;&#12288;&#35336;&#25968;&#31649;&#29702;/10&#12288;&#35211;&#31309;&#12288;&#30707;&#24029;&#21942;&#26989;&#2515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eddd98053b0bc2\&#9734;&#12288;&#27197;&#35211;&#29926;\&#8251;&#12288;&#20418;&#25968;&#29694;&#22580;&#31649;&#29702;\&#8251;&#12288;&#35211;&#31309;\&#26481;&#21271;&#22320;&#38663;&#38306;&#36899;\&#8251;&#12288;&#35211;&#31309;\&#8251;&#12288;&#21463;&#27880;&#31649;&#29702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eddd98053b0bc2\&#9734;&#12288;&#27197;&#35211;&#29926;\&#8251;&#12288;&#20418;&#25968;&#29694;&#22580;&#31649;&#29702;\&#8251;&#12288;&#35211;&#31309;\&#26481;&#21271;&#22320;&#38663;&#38306;&#36899;\&#8251;&#12288;&#35211;&#31309;\&#8251;&#12288;&#12372;&#35531;&#27714;&#26360;&#12288;&#20304;&#34276;&#24314;&#26989;&#27096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eddd98053b0bc2\&#21315;&#21407;&#24314;&#35373;\&#22865;&#32004;&#26360;&#12288;&#20491;&#21029;\&#8251;&#12288;&#12288;&#35211;&#31309;&#12418;&#12426;&#22865;&#32004;&#38306;&#20418;\&#24037;&#20107;&#35211;&#31309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カレンダー"/>
      <sheetName val="Sheet1"/>
    </sheetNames>
    <sheetDataSet>
      <sheetData sheetId="0">
        <row r="1">
          <cell r="B1">
            <v>2025</v>
          </cell>
          <cell r="C1" t="str">
            <v>5月</v>
          </cell>
        </row>
        <row r="2">
          <cell r="B2" t="str">
            <v>日曜日</v>
          </cell>
        </row>
        <row r="15">
          <cell r="B15">
            <v>2025</v>
          </cell>
          <cell r="C15" t="str">
            <v>6月</v>
          </cell>
        </row>
        <row r="29">
          <cell r="B29">
            <v>2025</v>
          </cell>
          <cell r="C29" t="str">
            <v>7月</v>
          </cell>
        </row>
        <row r="43">
          <cell r="B43">
            <v>2025</v>
          </cell>
          <cell r="C43" t="str">
            <v>8月</v>
          </cell>
        </row>
        <row r="57">
          <cell r="B57">
            <v>2025</v>
          </cell>
          <cell r="C57" t="str">
            <v>9月</v>
          </cell>
        </row>
        <row r="71">
          <cell r="B71">
            <v>2025</v>
          </cell>
          <cell r="C71" t="str">
            <v>10月</v>
          </cell>
        </row>
        <row r="85">
          <cell r="B85">
            <v>2025</v>
          </cell>
          <cell r="C85" t="str">
            <v>11月</v>
          </cell>
        </row>
        <row r="99">
          <cell r="B99">
            <v>2025</v>
          </cell>
          <cell r="C99" t="str">
            <v>12月</v>
          </cell>
        </row>
        <row r="113">
          <cell r="B113">
            <v>2026</v>
          </cell>
          <cell r="C113" t="str">
            <v>1月</v>
          </cell>
        </row>
        <row r="127">
          <cell r="B127">
            <v>2026</v>
          </cell>
          <cell r="C127" t="str">
            <v>2月</v>
          </cell>
        </row>
        <row r="141">
          <cell r="B141">
            <v>2026</v>
          </cell>
          <cell r="C141" t="str">
            <v>3月</v>
          </cell>
        </row>
        <row r="155">
          <cell r="B155">
            <v>2026</v>
          </cell>
          <cell r="C155" t="str">
            <v>4月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片ウィング【ホテルSW】"/>
      <sheetName val="片ウィング【ホテル3点UB】 "/>
      <sheetName val="片ウィング【基本】"/>
      <sheetName val="片ウィング【躯体】 "/>
      <sheetName val="甲駅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見本 "/>
      <sheetName val="見本  (2)"/>
      <sheetName val="強化棟見本 (2)"/>
      <sheetName val="積み直し見本 (2)"/>
      <sheetName val="リンクテスト"/>
      <sheetName val="Sheet2"/>
      <sheetName val="単価"/>
      <sheetName val="データ"/>
      <sheetName val="顧客名一覧"/>
      <sheetName val="小此内"/>
      <sheetName val="見本"/>
      <sheetName val="189出雲 (2)"/>
      <sheetName val="畠山"/>
      <sheetName val="万年"/>
      <sheetName val="Sheet3"/>
      <sheetName val="表宏"/>
      <sheetName val="199崎田 (2)"/>
      <sheetName val="199崎田 (3)"/>
      <sheetName val="199崎田"/>
      <sheetName val="197亀喜"/>
      <sheetName val="Sheet4"/>
      <sheetName val="Sheet5"/>
      <sheetName val="182西川 (2)"/>
      <sheetName val="196宮本"/>
      <sheetName val="195 (2)"/>
      <sheetName val="195橋屋"/>
      <sheetName val="194山口"/>
      <sheetName val="169野田 (2)"/>
      <sheetName val="190飴谷 (2)"/>
      <sheetName val="193梅木"/>
      <sheetName val="192加茂野 (3)"/>
      <sheetName val="192加茂野 (2)"/>
      <sheetName val="192加茂野"/>
      <sheetName val="桜井雪止"/>
      <sheetName val="191谷口"/>
      <sheetName val="190飴谷"/>
      <sheetName val="189出雲"/>
      <sheetName val="188宮崎"/>
      <sheetName val="188宮崎1"/>
      <sheetName val="187マーク"/>
      <sheetName val="186赤倉"/>
      <sheetName val="185谷"/>
      <sheetName val="184坂井"/>
      <sheetName val="183北野 (2)"/>
      <sheetName val="183北野"/>
      <sheetName val="182西川"/>
      <sheetName val="坂井"/>
      <sheetName val="谷"/>
      <sheetName val="山本"/>
      <sheetName val="林 (2)"/>
      <sheetName val="林"/>
      <sheetName val="水口"/>
      <sheetName val="宮崎　追加"/>
      <sheetName val="176上田 (2)"/>
      <sheetName val="176上田"/>
      <sheetName val="175岡島2"/>
      <sheetName val="175岡島"/>
      <sheetName val="174山口 (4)"/>
      <sheetName val="174山口 (2)"/>
      <sheetName val="174山口 (3)"/>
      <sheetName val="174山口"/>
      <sheetName val="高松"/>
      <sheetName val="172大沢"/>
      <sheetName val="171田中秀雄"/>
      <sheetName val="171小林"/>
      <sheetName val="170長谷川"/>
      <sheetName val="169野田"/>
      <sheetName val="168浜田"/>
      <sheetName val="156還来寺 (2)"/>
      <sheetName val="167初道"/>
      <sheetName val="永松 (2)"/>
      <sheetName val="永松"/>
      <sheetName val="58富井"/>
      <sheetName val="166吉村 (4)"/>
      <sheetName val="166吉村 (3)"/>
      <sheetName val="166吉村 (2)"/>
      <sheetName val="166吉村"/>
      <sheetName val="165弥重"/>
      <sheetName val="山口 (3)"/>
      <sheetName val="163梅木　克"/>
      <sheetName val="162岡部"/>
      <sheetName val="161梅木 (6)"/>
      <sheetName val="161梅木 (4)"/>
      <sheetName val="161梅木 (5)"/>
      <sheetName val="161梅木 (3)"/>
      <sheetName val="161梅木 (2)"/>
      <sheetName val="161梅木"/>
      <sheetName val="160三浦 (2)"/>
      <sheetName val="160三浦"/>
      <sheetName val="159岡野"/>
      <sheetName val="158坂井"/>
      <sheetName val="157梅本"/>
      <sheetName val="156還来寺"/>
      <sheetName val="153杉原"/>
      <sheetName val="152宮下 (2)"/>
      <sheetName val="152宮下"/>
      <sheetName val="岡島"/>
      <sheetName val="岡島1"/>
      <sheetName val="151宮崎 (4)"/>
      <sheetName val="151宮崎 (3)"/>
      <sheetName val="151宮崎 (2)"/>
      <sheetName val="151宮崎"/>
      <sheetName val="150前田"/>
      <sheetName val="149小西4"/>
      <sheetName val="149小西3"/>
      <sheetName val="149小西2"/>
      <sheetName val="149小西"/>
      <sheetName val="148柳田 (2)"/>
      <sheetName val="148柳田"/>
      <sheetName val="147中西"/>
      <sheetName val="146杉藤"/>
      <sheetName val="145大阪"/>
      <sheetName val="144甲部 (2)"/>
      <sheetName val="144甲部"/>
      <sheetName val="143小林美香"/>
      <sheetName val="表 (3)"/>
      <sheetName val="142石川 (3)"/>
      <sheetName val="142石川 (2)"/>
      <sheetName val="142石川"/>
      <sheetName val="平野 (2)"/>
      <sheetName val="岩附追加"/>
      <sheetName val="佐原　久江"/>
      <sheetName val="庵"/>
      <sheetName val="平野"/>
      <sheetName val="140清水豊"/>
      <sheetName val="139池田 (2)"/>
      <sheetName val="139池田"/>
      <sheetName val="89鹿山 (2)"/>
      <sheetName val="138吉村 納屋"/>
      <sheetName val="138吉村 (2)"/>
      <sheetName val="138吉村"/>
      <sheetName val="137平野 (4)"/>
      <sheetName val="137平野 (3)"/>
      <sheetName val="137平野 (2)"/>
      <sheetName val="137平野"/>
      <sheetName val="出雲"/>
      <sheetName val="表 (2)"/>
      <sheetName val="表"/>
      <sheetName val="134池島"/>
      <sheetName val="115笹川 (3)"/>
      <sheetName val="山口 (2)"/>
      <sheetName val="山口2"/>
      <sheetName val="山口"/>
      <sheetName val="132平山"/>
      <sheetName val="平山"/>
      <sheetName val="多古"/>
      <sheetName val="129奥田"/>
      <sheetName val="128山森"/>
      <sheetName val="127北野"/>
      <sheetName val="126髙木"/>
      <sheetName val="125水口"/>
      <sheetName val="124松田"/>
      <sheetName val="123松永"/>
      <sheetName val="122山本"/>
      <sheetName val="121丸岡"/>
      <sheetName val="120 (3)"/>
      <sheetName val="120 (2)"/>
      <sheetName val="120岡田一郎"/>
      <sheetName val="119藤橋"/>
      <sheetName val="118北野 (4)"/>
      <sheetName val="118北野 (3)"/>
      <sheetName val="118北野 (2)"/>
      <sheetName val="118北野"/>
      <sheetName val="117山崎"/>
      <sheetName val="116還来寺"/>
      <sheetName val="115笹川 (2)"/>
      <sheetName val="115笹川"/>
      <sheetName val="114谷口"/>
      <sheetName val="113中田"/>
      <sheetName val="52西谷 追 (2)"/>
      <sheetName val="52西谷 追"/>
      <sheetName val="52西谷"/>
      <sheetName val="52西谷 (3)"/>
      <sheetName val="52西谷 (2)"/>
      <sheetName val="岩附葺き"/>
      <sheetName val="112永谷 (2)"/>
      <sheetName val="112永谷"/>
      <sheetName val="111奥原"/>
      <sheetName val="110蔵田"/>
      <sheetName val="109深田"/>
      <sheetName val="108宮嶋"/>
      <sheetName val="20坂本 (2)"/>
      <sheetName val="20坂本"/>
      <sheetName val="51坂本浩 (2)"/>
      <sheetName val="51坂本浩"/>
      <sheetName val="33慶英寺　旧　追加"/>
      <sheetName val="107清水"/>
      <sheetName val="106北原"/>
      <sheetName val="105大岡"/>
      <sheetName val="104稲葉"/>
      <sheetName val="103川縁"/>
      <sheetName val="102清酒"/>
      <sheetName val="101今村"/>
      <sheetName val="100小林2"/>
      <sheetName val="99丹後 (2)"/>
      <sheetName val="99丹後"/>
      <sheetName val="長多壁"/>
      <sheetName val="96"/>
      <sheetName val="95的場 (2)"/>
      <sheetName val="95的場"/>
      <sheetName val="94木下"/>
      <sheetName val="93大菅 (2)"/>
      <sheetName val="93大菅"/>
      <sheetName val="77高名２ (2)"/>
      <sheetName val="77高名２"/>
      <sheetName val="92森2"/>
      <sheetName val="92森1"/>
      <sheetName val="91本"/>
      <sheetName val="90平見 (3)"/>
      <sheetName val="90平見"/>
      <sheetName val="89鹿山"/>
      <sheetName val="88清水"/>
      <sheetName val="87諏訪 (5)"/>
      <sheetName val="87諏訪 (4)"/>
      <sheetName val="87諏訪 (3)"/>
      <sheetName val="87諏訪 (2)"/>
      <sheetName val="87諏訪"/>
      <sheetName val="谷内板金"/>
      <sheetName val="85福島"/>
      <sheetName val="38正木追加 (2)"/>
      <sheetName val="38正木追加"/>
      <sheetName val="82曽山"/>
      <sheetName val="81水野"/>
      <sheetName val="80橋本"/>
      <sheetName val="79卜部小屋 (2)"/>
      <sheetName val="79卜部小屋"/>
      <sheetName val="78久保本 小屋 (2)"/>
      <sheetName val="78久保本 小屋"/>
      <sheetName val="78久保本 納屋"/>
      <sheetName val="78久保本宅"/>
      <sheetName val="76白藤"/>
      <sheetName val="74松田工場 (2)"/>
      <sheetName val="74松田工場"/>
      <sheetName val="73垣本"/>
      <sheetName val="72福島２"/>
      <sheetName val="72福島 1"/>
      <sheetName val="71泉 (4)"/>
      <sheetName val="71泉 (3)"/>
      <sheetName val="71泉 (2)"/>
      <sheetName val="71泉"/>
      <sheetName val="70三木 (2)"/>
      <sheetName val="70三木"/>
      <sheetName val="69岡田"/>
      <sheetName val="65岡水"/>
      <sheetName val="西村　葺止"/>
      <sheetName val="64寺江"/>
      <sheetName val="62小島"/>
      <sheetName val="60村岡 (2)"/>
      <sheetName val="60村岡"/>
      <sheetName val="檜納屋"/>
      <sheetName val="56岡本"/>
      <sheetName val="55黒氏神社"/>
      <sheetName val="55黒氏公民館"/>
      <sheetName val="49打越"/>
      <sheetName val="47兵部2"/>
      <sheetName val="47兵部"/>
      <sheetName val="Sheet1"/>
      <sheetName val="45谷野充"/>
      <sheetName val="43谷内2"/>
      <sheetName val="33慶英寺 新"/>
      <sheetName val="31本間"/>
      <sheetName val="27舘"/>
      <sheetName val="25山岸毎 (2)"/>
      <sheetName val="25山岸毎"/>
      <sheetName val="21祠 (2)"/>
      <sheetName val="久保"/>
      <sheetName val="1塚"/>
      <sheetName val="16折原 (2)"/>
      <sheetName val="4百海満"/>
      <sheetName val="198新田"/>
      <sheetName val="Sheet6"/>
      <sheetName val="Sheet7"/>
      <sheetName val="Sheet8"/>
      <sheetName val="Sheet9"/>
      <sheetName val="Sheet10"/>
      <sheetName val="瓦ラバー"/>
      <sheetName val="強化棟見本"/>
      <sheetName val="棟ラバー見本"/>
      <sheetName val="積み直し見本"/>
      <sheetName val="120"/>
      <sheetName val="119"/>
      <sheetName val="90平見 (2)"/>
      <sheetName val="見本 (2)"/>
      <sheetName val="171小林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ｍ</v>
          </cell>
        </row>
        <row r="3">
          <cell r="A3" t="str">
            <v>㎡</v>
          </cell>
        </row>
        <row r="4">
          <cell r="A4" t="str">
            <v>枚</v>
          </cell>
        </row>
        <row r="5">
          <cell r="A5" t="str">
            <v>式</v>
          </cell>
        </row>
        <row r="6">
          <cell r="A6" t="str">
            <v>箇所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見本 "/>
      <sheetName val="見本  (2)"/>
      <sheetName val="強化棟見本 (2)"/>
      <sheetName val="積み直し見本 (2)"/>
      <sheetName val="リンクテスト"/>
      <sheetName val="Sheet2"/>
      <sheetName val="単価"/>
      <sheetName val="データ"/>
      <sheetName val="顧客名一覧"/>
      <sheetName val="小此内"/>
      <sheetName val="見本"/>
      <sheetName val="189出雲 (2)"/>
      <sheetName val="畠山"/>
      <sheetName val="万年"/>
      <sheetName val="Sheet3"/>
      <sheetName val="表宏"/>
      <sheetName val="199崎田 (2)"/>
      <sheetName val="199崎田 (3)"/>
      <sheetName val="199崎田"/>
      <sheetName val="198新田"/>
      <sheetName val="197亀喜"/>
      <sheetName val="Sheet4"/>
      <sheetName val="Sheet5"/>
      <sheetName val="182西川 (2)"/>
      <sheetName val="196宮本"/>
      <sheetName val="195 (2)"/>
      <sheetName val="195橋屋"/>
      <sheetName val="194山口"/>
      <sheetName val="169野田 (2)"/>
      <sheetName val="190飴谷 (2)"/>
      <sheetName val="193梅木"/>
      <sheetName val="192加茂野 (3)"/>
      <sheetName val="192加茂野 (2)"/>
      <sheetName val="192加茂野"/>
      <sheetName val="桜井雪止"/>
      <sheetName val="191谷口"/>
      <sheetName val="190飴谷"/>
      <sheetName val="189出雲"/>
      <sheetName val="188宮崎"/>
      <sheetName val="188宮崎1"/>
      <sheetName val="187マーク"/>
      <sheetName val="186赤倉"/>
      <sheetName val="185谷"/>
      <sheetName val="184坂井"/>
      <sheetName val="183北野 (2)"/>
      <sheetName val="183北野"/>
      <sheetName val="182西川"/>
      <sheetName val="坂井"/>
      <sheetName val="谷"/>
      <sheetName val="山本"/>
      <sheetName val="林 (2)"/>
      <sheetName val="林"/>
      <sheetName val="水口"/>
      <sheetName val="宮崎　追加"/>
      <sheetName val="176上田 (2)"/>
      <sheetName val="176上田"/>
      <sheetName val="175岡島2"/>
      <sheetName val="175岡島"/>
      <sheetName val="174山口 (4)"/>
      <sheetName val="174山口 (2)"/>
      <sheetName val="174山口 (3)"/>
      <sheetName val="174山口"/>
      <sheetName val="高松"/>
      <sheetName val="172大沢"/>
      <sheetName val="171田中秀雄"/>
      <sheetName val="171小林"/>
      <sheetName val="170長谷川"/>
      <sheetName val="169野田"/>
      <sheetName val="168浜田"/>
      <sheetName val="156還来寺 (2)"/>
      <sheetName val="167初道"/>
      <sheetName val="永松 (2)"/>
      <sheetName val="永松"/>
      <sheetName val="58富井"/>
      <sheetName val="166吉村 (4)"/>
      <sheetName val="166吉村 (3)"/>
      <sheetName val="166吉村 (2)"/>
      <sheetName val="166吉村"/>
      <sheetName val="165弥重"/>
      <sheetName val="山口 (3)"/>
      <sheetName val="163梅木　克"/>
      <sheetName val="162岡部"/>
      <sheetName val="161梅木 (6)"/>
      <sheetName val="161梅木 (4)"/>
      <sheetName val="161梅木 (5)"/>
      <sheetName val="161梅木 (3)"/>
      <sheetName val="161梅木 (2)"/>
      <sheetName val="161梅木"/>
      <sheetName val="160三浦 (2)"/>
      <sheetName val="160三浦"/>
      <sheetName val="159岡野"/>
      <sheetName val="158坂井"/>
      <sheetName val="157梅本"/>
      <sheetName val="156還来寺"/>
      <sheetName val="153杉原"/>
      <sheetName val="152宮下 (2)"/>
      <sheetName val="152宮下"/>
      <sheetName val="岡島"/>
      <sheetName val="岡島1"/>
      <sheetName val="151宮崎 (4)"/>
      <sheetName val="151宮崎 (3)"/>
      <sheetName val="151宮崎 (2)"/>
      <sheetName val="151宮崎"/>
      <sheetName val="150前田"/>
      <sheetName val="149小西4"/>
      <sheetName val="149小西3"/>
      <sheetName val="149小西2"/>
      <sheetName val="149小西"/>
      <sheetName val="148柳田 (2)"/>
      <sheetName val="148柳田"/>
      <sheetName val="147中西"/>
      <sheetName val="146杉藤"/>
      <sheetName val="145大阪"/>
      <sheetName val="144甲部 (2)"/>
      <sheetName val="144甲部"/>
      <sheetName val="143小林美香"/>
      <sheetName val="表 (3)"/>
      <sheetName val="142石川 (3)"/>
      <sheetName val="142石川 (2)"/>
      <sheetName val="142石川"/>
      <sheetName val="平野 (2)"/>
      <sheetName val="岩附追加"/>
      <sheetName val="佐原　久江"/>
      <sheetName val="庵"/>
      <sheetName val="平野"/>
      <sheetName val="140清水豊"/>
      <sheetName val="139池田 (2)"/>
      <sheetName val="139池田"/>
      <sheetName val="89鹿山 (2)"/>
      <sheetName val="138吉村 納屋"/>
      <sheetName val="138吉村 (2)"/>
      <sheetName val="138吉村"/>
      <sheetName val="137平野 (4)"/>
      <sheetName val="137平野 (3)"/>
      <sheetName val="137平野 (2)"/>
      <sheetName val="137平野"/>
      <sheetName val="出雲"/>
      <sheetName val="表 (2)"/>
      <sheetName val="表"/>
      <sheetName val="134池島"/>
      <sheetName val="115笹川 (3)"/>
      <sheetName val="山口 (2)"/>
      <sheetName val="山口2"/>
      <sheetName val="山口"/>
      <sheetName val="132平山"/>
      <sheetName val="平山"/>
      <sheetName val="多古"/>
      <sheetName val="129奥田"/>
      <sheetName val="128山森"/>
      <sheetName val="127北野"/>
      <sheetName val="126髙木"/>
      <sheetName val="125水口"/>
      <sheetName val="124松田"/>
      <sheetName val="123松永"/>
      <sheetName val="122山本"/>
      <sheetName val="121丸岡"/>
      <sheetName val="120 (3)"/>
      <sheetName val="120 (2)"/>
      <sheetName val="120岡田一郎"/>
      <sheetName val="119藤橋"/>
      <sheetName val="118北野 (4)"/>
      <sheetName val="118北野 (3)"/>
      <sheetName val="118北野 (2)"/>
      <sheetName val="118北野"/>
      <sheetName val="117山崎"/>
      <sheetName val="116還来寺"/>
      <sheetName val="115笹川 (2)"/>
      <sheetName val="115笹川"/>
      <sheetName val="114谷口"/>
      <sheetName val="113中田"/>
      <sheetName val="52西谷 追 (2)"/>
      <sheetName val="52西谷 追"/>
      <sheetName val="52西谷"/>
      <sheetName val="52西谷 (3)"/>
      <sheetName val="52西谷 (2)"/>
      <sheetName val="岩附葺き"/>
      <sheetName val="112永谷 (2)"/>
      <sheetName val="112永谷"/>
      <sheetName val="111奥原"/>
      <sheetName val="110蔵田"/>
      <sheetName val="109深田"/>
      <sheetName val="108宮嶋"/>
      <sheetName val="20坂本 (2)"/>
      <sheetName val="20坂本"/>
      <sheetName val="51坂本浩 (2)"/>
      <sheetName val="51坂本浩"/>
      <sheetName val="33慶英寺　旧　追加"/>
      <sheetName val="107清水"/>
      <sheetName val="106北原"/>
      <sheetName val="105大岡"/>
      <sheetName val="104稲葉"/>
      <sheetName val="103川縁"/>
      <sheetName val="102清酒"/>
      <sheetName val="101今村"/>
      <sheetName val="100小林2"/>
      <sheetName val="99丹後 (2)"/>
      <sheetName val="99丹後"/>
      <sheetName val="長多壁"/>
      <sheetName val="96"/>
      <sheetName val="95的場 (2)"/>
      <sheetName val="95的場"/>
      <sheetName val="94木下"/>
      <sheetName val="93大菅 (2)"/>
      <sheetName val="93大菅"/>
      <sheetName val="77高名２ (2)"/>
      <sheetName val="77高名２"/>
      <sheetName val="92森2"/>
      <sheetName val="92森1"/>
      <sheetName val="91本"/>
      <sheetName val="90平見 (3)"/>
      <sheetName val="90平見"/>
      <sheetName val="89鹿山"/>
      <sheetName val="88清水"/>
      <sheetName val="87諏訪 (5)"/>
      <sheetName val="87諏訪 (4)"/>
      <sheetName val="87諏訪 (3)"/>
      <sheetName val="87諏訪 (2)"/>
      <sheetName val="87諏訪"/>
      <sheetName val="谷内板金"/>
      <sheetName val="85福島"/>
      <sheetName val="38正木追加 (2)"/>
      <sheetName val="38正木追加"/>
      <sheetName val="82曽山"/>
      <sheetName val="81水野"/>
      <sheetName val="80橋本"/>
      <sheetName val="79卜部小屋 (2)"/>
      <sheetName val="79卜部小屋"/>
      <sheetName val="78久保本 小屋 (2)"/>
      <sheetName val="78久保本 小屋"/>
      <sheetName val="78久保本 納屋"/>
      <sheetName val="78久保本宅"/>
      <sheetName val="76白藤"/>
      <sheetName val="74松田工場 (2)"/>
      <sheetName val="74松田工場"/>
      <sheetName val="73垣本"/>
      <sheetName val="72福島２"/>
      <sheetName val="72福島 1"/>
      <sheetName val="71泉 (4)"/>
      <sheetName val="71泉 (3)"/>
      <sheetName val="71泉 (2)"/>
      <sheetName val="71泉"/>
      <sheetName val="70三木 (2)"/>
      <sheetName val="70三木"/>
      <sheetName val="69岡田"/>
      <sheetName val="65岡水"/>
      <sheetName val="西村　葺止"/>
      <sheetName val="64寺江"/>
      <sheetName val="62小島"/>
      <sheetName val="60村岡 (2)"/>
      <sheetName val="60村岡"/>
      <sheetName val="檜納屋"/>
      <sheetName val="56岡本"/>
      <sheetName val="55黒氏神社"/>
      <sheetName val="55黒氏公民館"/>
      <sheetName val="49打越"/>
      <sheetName val="47兵部2"/>
      <sheetName val="47兵部"/>
      <sheetName val="Sheet1"/>
      <sheetName val="45谷野充"/>
      <sheetName val="43谷内2"/>
      <sheetName val="33慶英寺 新"/>
      <sheetName val="31本間"/>
      <sheetName val="27舘"/>
      <sheetName val="25山岸毎 (2)"/>
      <sheetName val="25山岸毎"/>
      <sheetName val="21祠 (2)"/>
      <sheetName val="久保"/>
      <sheetName val="1塚"/>
      <sheetName val="16折原 (2)"/>
      <sheetName val="4百海満"/>
      <sheetName val="Sheet6"/>
      <sheetName val="Sheet7"/>
      <sheetName val="Sheet8"/>
      <sheetName val="Sheet9"/>
      <sheetName val="Sheet10"/>
      <sheetName val="瓦ラバー"/>
      <sheetName val="強化棟見本"/>
      <sheetName val="棟ラバー見本"/>
      <sheetName val="積み直し見本"/>
      <sheetName val="120"/>
      <sheetName val="119"/>
      <sheetName val="90平見 (2)"/>
      <sheetName val="見本 (2)"/>
      <sheetName val="171小林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請け"/>
      <sheetName val="名刺画像"/>
      <sheetName val="データ"/>
      <sheetName val="施工管理個別項目入力"/>
      <sheetName val="施工管理印刷"/>
      <sheetName val="見積提出済み"/>
      <sheetName val="入金"/>
      <sheetName val="支払予定"/>
      <sheetName val="見本"/>
      <sheetName val="自社1"/>
      <sheetName val="佐藤建業"/>
      <sheetName val="川崎"/>
      <sheetName val="かのうや"/>
      <sheetName val="山田"/>
      <sheetName val="仙中"/>
      <sheetName val="セイユ―"/>
      <sheetName val="トーヨー"/>
    </sheetNames>
    <sheetDataSet>
      <sheetData sheetId="0"/>
      <sheetData sheetId="1"/>
      <sheetData sheetId="2">
        <row r="2">
          <cell r="A2" t="str">
            <v>自社</v>
          </cell>
          <cell r="B2" t="str">
            <v>受注</v>
          </cell>
        </row>
        <row r="3">
          <cell r="A3" t="str">
            <v>佐藤建業</v>
          </cell>
          <cell r="B3" t="str">
            <v>施工中</v>
          </cell>
        </row>
        <row r="4">
          <cell r="A4" t="str">
            <v>川崎工務店</v>
          </cell>
          <cell r="B4" t="str">
            <v>工事完了</v>
          </cell>
        </row>
        <row r="5">
          <cell r="A5" t="str">
            <v>かのうや</v>
          </cell>
          <cell r="B5" t="str">
            <v>請求中</v>
          </cell>
        </row>
        <row r="6">
          <cell r="A6" t="str">
            <v>山田瓦</v>
          </cell>
          <cell r="B6" t="str">
            <v>入金済み</v>
          </cell>
        </row>
        <row r="7">
          <cell r="A7" t="str">
            <v>仙中</v>
          </cell>
        </row>
        <row r="8">
          <cell r="A8" t="str">
            <v>セイユ―建設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リスト"/>
      <sheetName val="見本"/>
      <sheetName val="追加工事分のみ3491012"/>
      <sheetName val="461012"/>
      <sheetName val="12389"/>
    </sheetNames>
    <sheetDataSet>
      <sheetData sheetId="0">
        <row r="2">
          <cell r="M2" t="str">
            <v>工事中</v>
          </cell>
        </row>
        <row r="3">
          <cell r="M3" t="str">
            <v>完了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データ"/>
      <sheetName val="見本"/>
      <sheetName val="見本２"/>
      <sheetName val="犬走り"/>
      <sheetName val="駐車場"/>
      <sheetName val="ブロック"/>
      <sheetName val="縄田"/>
      <sheetName val="縄田　犬"/>
      <sheetName val="縄田　駐"/>
      <sheetName val="縄田　テ"/>
      <sheetName val="山内"/>
      <sheetName val="山内　駐"/>
      <sheetName val="山内　ブ"/>
      <sheetName val="内田"/>
      <sheetName val="内田　犬走り "/>
      <sheetName val="内田　解体"/>
      <sheetName val="内田　解体 (2)"/>
      <sheetName val="福田 訂正１"/>
      <sheetName val="福田　訂正２"/>
      <sheetName val="福田"/>
      <sheetName val="福田　駐"/>
      <sheetName val="福田　犬1"/>
      <sheetName val="渡口"/>
      <sheetName val="渡口 駐"/>
      <sheetName val="渡口 本"/>
      <sheetName val="渡口 応急"/>
      <sheetName val="渡口 犬"/>
      <sheetName val="渡口 砕石"/>
      <sheetName val="小林"/>
      <sheetName val="見本２ (2)"/>
      <sheetName val="美とん"/>
      <sheetName val="丸山"/>
      <sheetName val="丸山2"/>
      <sheetName val="丸山2 (2)"/>
      <sheetName val="丸山犬走り"/>
      <sheetName val="丸山玄関"/>
      <sheetName val="Sheet5"/>
    </sheetNames>
    <sheetDataSet>
      <sheetData sheetId="0">
        <row r="2">
          <cell r="A2" t="str">
            <v>名称</v>
          </cell>
          <cell r="D2" t="str">
            <v>単位</v>
          </cell>
        </row>
        <row r="3">
          <cell r="A3" t="str">
            <v>レベル測量</v>
          </cell>
          <cell r="D3" t="str">
            <v>㎥</v>
          </cell>
        </row>
        <row r="4">
          <cell r="A4" t="str">
            <v>養生</v>
          </cell>
          <cell r="D4" t="str">
            <v>㎡</v>
          </cell>
        </row>
        <row r="5">
          <cell r="A5" t="str">
            <v>照明</v>
          </cell>
          <cell r="D5" t="str">
            <v>ｍ</v>
          </cell>
        </row>
        <row r="6">
          <cell r="A6" t="str">
            <v>機材・資材運搬</v>
          </cell>
          <cell r="D6" t="str">
            <v>箇所</v>
          </cell>
        </row>
        <row r="7">
          <cell r="A7" t="str">
            <v>配管点検補修</v>
          </cell>
          <cell r="D7" t="str">
            <v>台</v>
          </cell>
        </row>
        <row r="8">
          <cell r="A8" t="str">
            <v>清掃・後片付け</v>
          </cell>
          <cell r="D8" t="str">
            <v>式</v>
          </cell>
        </row>
        <row r="10">
          <cell r="A10" t="str">
            <v>基礎下掘削</v>
          </cell>
        </row>
        <row r="11">
          <cell r="A11" t="str">
            <v>コンクリートハツリ</v>
          </cell>
        </row>
        <row r="12">
          <cell r="A12" t="str">
            <v>地盤改良</v>
          </cell>
        </row>
        <row r="13">
          <cell r="A13" t="str">
            <v>基礎下掘削埋め戻し</v>
          </cell>
        </row>
        <row r="14">
          <cell r="A14" t="str">
            <v>発生残土ガラ処分費用</v>
          </cell>
        </row>
        <row r="15">
          <cell r="A15" t="str">
            <v>ゴミ処分費用</v>
          </cell>
        </row>
        <row r="17">
          <cell r="A17" t="str">
            <v>耐圧盤設置</v>
          </cell>
        </row>
        <row r="18">
          <cell r="A18" t="str">
            <v>ジャッキアップ</v>
          </cell>
        </row>
        <row r="19">
          <cell r="A19" t="str">
            <v>支持金具設置及び高さ調節</v>
          </cell>
        </row>
        <row r="21">
          <cell r="A21" t="str">
            <v>土間鉄筋地組み</v>
          </cell>
        </row>
        <row r="22">
          <cell r="A22" t="str">
            <v>土間コンクリート</v>
          </cell>
        </row>
        <row r="23">
          <cell r="A23" t="str">
            <v>土間整地・砕石敷き</v>
          </cell>
        </row>
        <row r="25">
          <cell r="A25" t="str">
            <v>基礎下改良土流し込み</v>
          </cell>
        </row>
        <row r="27">
          <cell r="A27" t="str">
            <v>管理費</v>
          </cell>
        </row>
        <row r="29">
          <cell r="A29" t="str">
            <v>10日、２５日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4321-80CB-4C09-8E82-EC3B855935CC}">
  <dimension ref="B1:W257"/>
  <sheetViews>
    <sheetView showZeros="0" view="pageBreakPreview" zoomScale="80" zoomScaleNormal="100" zoomScaleSheetLayoutView="80" workbookViewId="0">
      <selection activeCell="M2" sqref="M2:W2"/>
    </sheetView>
  </sheetViews>
  <sheetFormatPr defaultRowHeight="18.75" outlineLevelCol="1" x14ac:dyDescent="0.4"/>
  <cols>
    <col min="1" max="1" width="2.875" customWidth="1"/>
    <col min="2" max="2" width="6.5" customWidth="1"/>
    <col min="3" max="3" width="8.625" customWidth="1"/>
    <col min="4" max="4" width="10" customWidth="1"/>
    <col min="5" max="7" width="8.25" customWidth="1"/>
    <col min="8" max="8" width="6.25" customWidth="1"/>
    <col min="9" max="9" width="5" customWidth="1"/>
    <col min="10" max="10" width="7.875" customWidth="1"/>
    <col min="11" max="11" width="9.75" customWidth="1"/>
    <col min="12" max="12" width="14.25" customWidth="1"/>
    <col min="13" max="13" width="6.5" customWidth="1" outlineLevel="1"/>
    <col min="14" max="14" width="8.625" customWidth="1" outlineLevel="1"/>
    <col min="15" max="15" width="10" customWidth="1" outlineLevel="1"/>
    <col min="16" max="18" width="8.25" customWidth="1" outlineLevel="1"/>
    <col min="19" max="19" width="6.25" customWidth="1" outlineLevel="1"/>
    <col min="20" max="20" width="5" customWidth="1" outlineLevel="1"/>
    <col min="21" max="21" width="7.875" customWidth="1" outlineLevel="1"/>
    <col min="22" max="22" width="9.75" customWidth="1" outlineLevel="1"/>
    <col min="23" max="23" width="13.5" customWidth="1" outlineLevel="1"/>
  </cols>
  <sheetData>
    <row r="1" spans="2:23" x14ac:dyDescent="0.4">
      <c r="F1" t="s">
        <v>0</v>
      </c>
      <c r="G1" s="1">
        <v>1</v>
      </c>
      <c r="I1" s="2" t="s">
        <v>1</v>
      </c>
      <c r="J1" s="1">
        <v>0.15</v>
      </c>
      <c r="K1" s="3">
        <v>1.5</v>
      </c>
      <c r="L1" s="4">
        <f>N11-C11</f>
        <v>2010800</v>
      </c>
      <c r="W1" s="5"/>
    </row>
    <row r="2" spans="2:23" ht="35.25" x14ac:dyDescent="0.4">
      <c r="B2" s="157" t="s">
        <v>146</v>
      </c>
      <c r="C2" s="157"/>
      <c r="D2" s="157"/>
      <c r="E2" s="158"/>
      <c r="F2" s="159" t="s">
        <v>139</v>
      </c>
      <c r="G2" s="159"/>
      <c r="H2" s="159"/>
      <c r="I2" s="159"/>
      <c r="J2" s="159"/>
      <c r="K2" s="159" t="s">
        <v>140</v>
      </c>
      <c r="L2" s="159"/>
      <c r="M2" s="6" t="s">
        <v>172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 spans="2:23" ht="23.25" customHeight="1" x14ac:dyDescent="0.4">
      <c r="B3" s="7" t="s">
        <v>138</v>
      </c>
      <c r="C3" s="8"/>
      <c r="D3" s="8"/>
      <c r="E3" s="8"/>
      <c r="F3" s="8"/>
      <c r="G3" s="9" t="s">
        <v>2</v>
      </c>
      <c r="J3" s="10"/>
      <c r="K3" s="11" t="s">
        <v>3</v>
      </c>
      <c r="L3" s="12"/>
      <c r="M3" s="7" t="s">
        <v>4</v>
      </c>
      <c r="N3" s="13"/>
      <c r="O3" s="13"/>
      <c r="P3" s="13"/>
      <c r="Q3" s="13"/>
      <c r="R3" s="9" t="s">
        <v>2</v>
      </c>
      <c r="U3" s="10"/>
      <c r="V3" s="11" t="str">
        <f>K3</f>
        <v>顧客番号</v>
      </c>
      <c r="W3" s="14">
        <f>L3</f>
        <v>0</v>
      </c>
    </row>
    <row r="4" spans="2:23" ht="21" customHeight="1" x14ac:dyDescent="0.4">
      <c r="B4" s="15" t="s">
        <v>5</v>
      </c>
      <c r="C4" s="16"/>
      <c r="D4" s="16"/>
      <c r="E4" s="16"/>
      <c r="F4" s="16"/>
      <c r="G4" s="17" t="s">
        <v>6</v>
      </c>
      <c r="J4" s="10"/>
      <c r="K4" s="18" t="s">
        <v>7</v>
      </c>
      <c r="L4" s="19"/>
      <c r="M4" s="15" t="s">
        <v>5</v>
      </c>
      <c r="N4" s="16"/>
      <c r="O4" s="16"/>
      <c r="P4" s="16"/>
      <c r="Q4" s="16"/>
      <c r="R4" s="17" t="s">
        <v>6</v>
      </c>
      <c r="U4" s="10"/>
      <c r="V4" s="11" t="s">
        <v>8</v>
      </c>
      <c r="W4" s="19">
        <f ca="1">TODAY()</f>
        <v>46255</v>
      </c>
    </row>
    <row r="5" spans="2:23" ht="21" customHeight="1" x14ac:dyDescent="0.4">
      <c r="B5" s="20" t="s">
        <v>9</v>
      </c>
      <c r="C5" s="21"/>
      <c r="D5" s="21"/>
      <c r="E5" s="21"/>
      <c r="F5" s="21"/>
      <c r="G5" s="21"/>
      <c r="H5" s="21"/>
      <c r="I5" s="21"/>
      <c r="J5" s="22"/>
      <c r="K5" s="23" t="s">
        <v>10</v>
      </c>
      <c r="L5" s="20"/>
      <c r="M5" s="20" t="s">
        <v>11</v>
      </c>
      <c r="N5" s="21"/>
      <c r="O5" s="21"/>
      <c r="P5" s="21"/>
      <c r="Q5" s="21"/>
      <c r="R5" s="21"/>
      <c r="S5" s="21"/>
      <c r="T5" s="21"/>
      <c r="U5" s="24"/>
      <c r="V5" s="25" t="str">
        <f>K5</f>
        <v>受注契約日</v>
      </c>
      <c r="W5" s="26">
        <f ca="1">W4</f>
        <v>46255</v>
      </c>
    </row>
    <row r="6" spans="2:23" ht="21" customHeight="1" x14ac:dyDescent="0.4">
      <c r="B6" s="27" t="s">
        <v>141</v>
      </c>
      <c r="C6" s="28" t="s">
        <v>141</v>
      </c>
      <c r="D6" s="29"/>
      <c r="E6" s="29"/>
      <c r="F6" s="28" t="s">
        <v>6</v>
      </c>
      <c r="G6" s="31" t="s">
        <v>142</v>
      </c>
      <c r="H6" s="31"/>
      <c r="I6" s="31"/>
      <c r="J6" s="32"/>
      <c r="K6" s="30" t="s">
        <v>143</v>
      </c>
      <c r="L6" s="30"/>
      <c r="M6" s="33" t="s">
        <v>12</v>
      </c>
      <c r="N6" s="28" t="str">
        <f>C6</f>
        <v>氏名</v>
      </c>
      <c r="O6" s="29"/>
      <c r="P6" s="29"/>
      <c r="Q6" s="29"/>
      <c r="R6" s="29"/>
      <c r="S6" s="31"/>
      <c r="T6" s="31">
        <f>I6</f>
        <v>0</v>
      </c>
      <c r="U6" s="32">
        <f>J6</f>
        <v>0</v>
      </c>
      <c r="V6" s="30"/>
      <c r="W6" s="30"/>
    </row>
    <row r="7" spans="2:23" ht="21" customHeight="1" x14ac:dyDescent="0.4">
      <c r="B7" s="34" t="s">
        <v>13</v>
      </c>
      <c r="C7" s="35" t="s">
        <v>14</v>
      </c>
      <c r="D7" s="36"/>
      <c r="E7" s="36"/>
      <c r="F7" s="36"/>
      <c r="G7" s="36"/>
      <c r="J7" s="37" t="s">
        <v>15</v>
      </c>
      <c r="M7" s="38" t="s">
        <v>16</v>
      </c>
      <c r="N7" s="35" t="s">
        <v>17</v>
      </c>
      <c r="O7" s="36"/>
      <c r="P7" s="36"/>
      <c r="Q7" s="36"/>
      <c r="R7" s="36"/>
      <c r="U7" s="37" t="s">
        <v>18</v>
      </c>
    </row>
    <row r="8" spans="2:23" ht="21" customHeight="1" x14ac:dyDescent="0.4">
      <c r="B8" s="39" t="s">
        <v>19</v>
      </c>
      <c r="C8" s="40" t="s">
        <v>20</v>
      </c>
      <c r="D8" s="40" t="s">
        <v>21</v>
      </c>
      <c r="E8" s="40"/>
      <c r="F8" s="40"/>
      <c r="G8" s="40"/>
      <c r="M8" s="41" t="s">
        <v>19</v>
      </c>
      <c r="N8" s="40" t="s">
        <v>20</v>
      </c>
      <c r="O8" s="40"/>
      <c r="P8" s="40"/>
      <c r="Q8" s="40"/>
      <c r="R8" s="40"/>
    </row>
    <row r="9" spans="2:23" ht="21" customHeight="1" x14ac:dyDescent="0.4">
      <c r="B9" s="42"/>
      <c r="C9" s="40" t="s">
        <v>22</v>
      </c>
      <c r="D9" s="40" t="s">
        <v>23</v>
      </c>
      <c r="E9" s="40"/>
      <c r="F9" s="40"/>
      <c r="G9" s="40"/>
      <c r="M9" s="43"/>
      <c r="N9" s="40" t="s">
        <v>22</v>
      </c>
      <c r="O9" s="40"/>
      <c r="P9" s="40"/>
      <c r="Q9" s="40"/>
      <c r="R9" s="40"/>
    </row>
    <row r="10" spans="2:23" ht="6.75" customHeight="1" x14ac:dyDescent="0.4">
      <c r="B10" s="44"/>
      <c r="M10" s="44"/>
    </row>
    <row r="11" spans="2:23" ht="21" customHeight="1" x14ac:dyDescent="0.4">
      <c r="B11" s="45" t="s">
        <v>24</v>
      </c>
      <c r="C11" s="46">
        <f>K81</f>
        <v>4654100</v>
      </c>
      <c r="D11" s="47"/>
      <c r="E11" s="47"/>
      <c r="F11" s="47"/>
      <c r="G11" s="48" t="s">
        <v>25</v>
      </c>
      <c r="H11" s="49"/>
      <c r="I11" s="50"/>
      <c r="M11" s="51" t="s">
        <v>24</v>
      </c>
      <c r="N11" s="46">
        <f>V81</f>
        <v>6664900</v>
      </c>
      <c r="O11" s="47"/>
      <c r="P11" s="47"/>
      <c r="Q11" s="47"/>
      <c r="R11" s="48" t="s">
        <v>25</v>
      </c>
      <c r="S11" s="49">
        <f>H11</f>
        <v>0</v>
      </c>
      <c r="T11" s="50"/>
      <c r="U11" s="52"/>
      <c r="V11" s="53"/>
      <c r="W11" s="53"/>
    </row>
    <row r="12" spans="2:23" ht="21" customHeight="1" x14ac:dyDescent="0.4">
      <c r="B12" s="54"/>
      <c r="C12" s="55"/>
      <c r="D12" s="55"/>
      <c r="E12" s="55"/>
      <c r="F12" s="55"/>
      <c r="G12" s="56"/>
      <c r="H12" s="49"/>
      <c r="I12" s="50"/>
      <c r="M12" s="57"/>
      <c r="N12" s="55"/>
      <c r="O12" s="55"/>
      <c r="P12" s="55"/>
      <c r="Q12" s="55"/>
      <c r="R12" s="56"/>
      <c r="S12" s="49">
        <f>H12</f>
        <v>0</v>
      </c>
      <c r="T12" s="50"/>
      <c r="U12" s="53"/>
      <c r="V12" s="53"/>
      <c r="W12" s="53"/>
    </row>
    <row r="13" spans="2:23" ht="5.25" customHeight="1" x14ac:dyDescent="0.4"/>
    <row r="14" spans="2:23" x14ac:dyDescent="0.4">
      <c r="B14" s="58" t="s">
        <v>26</v>
      </c>
      <c r="C14" s="58" t="s">
        <v>27</v>
      </c>
      <c r="D14" s="58"/>
      <c r="E14" s="58"/>
      <c r="F14" s="58"/>
      <c r="G14" s="58"/>
      <c r="H14" s="58" t="s">
        <v>28</v>
      </c>
      <c r="I14" s="58" t="s">
        <v>29</v>
      </c>
      <c r="J14" s="58" t="s">
        <v>30</v>
      </c>
      <c r="K14" s="58" t="s">
        <v>31</v>
      </c>
      <c r="L14" s="58" t="s">
        <v>32</v>
      </c>
      <c r="M14" s="59" t="s">
        <v>26</v>
      </c>
      <c r="N14" s="59" t="s">
        <v>27</v>
      </c>
      <c r="O14" s="59"/>
      <c r="P14" s="59"/>
      <c r="Q14" s="59"/>
      <c r="R14" s="59"/>
      <c r="S14" s="59" t="s">
        <v>28</v>
      </c>
      <c r="T14" s="59" t="s">
        <v>29</v>
      </c>
      <c r="U14" s="59" t="s">
        <v>30</v>
      </c>
      <c r="V14" s="59" t="s">
        <v>31</v>
      </c>
      <c r="W14" s="59" t="s">
        <v>32</v>
      </c>
    </row>
    <row r="15" spans="2:23" x14ac:dyDescent="0.4">
      <c r="B15" s="60" t="s">
        <v>106</v>
      </c>
      <c r="C15" s="60" t="s">
        <v>33</v>
      </c>
      <c r="D15" s="62"/>
      <c r="E15" s="62" t="s">
        <v>34</v>
      </c>
      <c r="F15" s="62"/>
      <c r="G15" s="61"/>
      <c r="H15" s="63">
        <v>12</v>
      </c>
      <c r="I15" s="64" t="s">
        <v>35</v>
      </c>
      <c r="J15" s="65">
        <f>ROUNDDOWN($G$1*1619/3*2.5,0)</f>
        <v>1349</v>
      </c>
      <c r="K15" s="66">
        <f t="shared" ref="K15:K73" si="0">ROUNDDOWN(H15*J15,0)</f>
        <v>16188</v>
      </c>
      <c r="L15" s="61"/>
      <c r="M15" s="67" t="str">
        <f t="shared" ref="M15:M77" si="1">B15</f>
        <v>本体</v>
      </c>
      <c r="N15" s="67"/>
      <c r="O15" s="67"/>
      <c r="P15" s="67" t="str">
        <f t="shared" ref="P15:P73" si="2">E15</f>
        <v>・単管パイプ2.5m</v>
      </c>
      <c r="Q15" s="67"/>
      <c r="R15" s="67"/>
      <c r="S15" s="63">
        <f t="shared" ref="S15:T76" si="3">H15</f>
        <v>12</v>
      </c>
      <c r="T15" s="67" t="str">
        <f t="shared" si="3"/>
        <v>本</v>
      </c>
      <c r="U15" s="65">
        <f t="shared" ref="U15:U73" si="4">ROUNDDOWN(J15*$K$1,0)</f>
        <v>2023</v>
      </c>
      <c r="V15" s="66">
        <f t="shared" ref="V15:V73" si="5">ROUNDDOWN(S15*U15,0)</f>
        <v>24276</v>
      </c>
      <c r="W15" s="67">
        <f t="shared" ref="W15:W77" si="6">L15</f>
        <v>0</v>
      </c>
    </row>
    <row r="16" spans="2:23" x14ac:dyDescent="0.4">
      <c r="B16" s="60"/>
      <c r="C16" s="61"/>
      <c r="D16" s="62"/>
      <c r="E16" s="62" t="s">
        <v>36</v>
      </c>
      <c r="F16" s="62"/>
      <c r="G16" s="61"/>
      <c r="H16" s="63">
        <f>ROUNDUP($H$15,2)</f>
        <v>12</v>
      </c>
      <c r="I16" s="64" t="s">
        <v>37</v>
      </c>
      <c r="J16" s="65">
        <f>ROUNDDOWN($G$1*188,0)</f>
        <v>188</v>
      </c>
      <c r="K16" s="66">
        <f t="shared" si="0"/>
        <v>2256</v>
      </c>
      <c r="L16" s="61"/>
      <c r="M16" s="67">
        <f t="shared" si="1"/>
        <v>0</v>
      </c>
      <c r="N16" s="67"/>
      <c r="O16" s="67"/>
      <c r="P16" s="67" t="str">
        <f t="shared" si="2"/>
        <v>・タルキ止めクランプ</v>
      </c>
      <c r="Q16" s="67"/>
      <c r="R16" s="67"/>
      <c r="S16" s="63">
        <f t="shared" si="3"/>
        <v>12</v>
      </c>
      <c r="T16" s="67" t="str">
        <f t="shared" si="3"/>
        <v>個</v>
      </c>
      <c r="U16" s="65">
        <f t="shared" si="4"/>
        <v>282</v>
      </c>
      <c r="V16" s="66">
        <f t="shared" si="5"/>
        <v>3384</v>
      </c>
      <c r="W16" s="67">
        <f t="shared" si="6"/>
        <v>0</v>
      </c>
    </row>
    <row r="17" spans="2:23" x14ac:dyDescent="0.4">
      <c r="B17" s="60"/>
      <c r="C17" s="61"/>
      <c r="D17" s="62"/>
      <c r="E17" s="62" t="s">
        <v>38</v>
      </c>
      <c r="F17" s="62"/>
      <c r="G17" s="61"/>
      <c r="H17" s="63">
        <f>ROUNDUP($H$15,2)</f>
        <v>12</v>
      </c>
      <c r="I17" s="64" t="s">
        <v>35</v>
      </c>
      <c r="J17" s="65">
        <f>ROUNDDOWN($G$1*1850,0)</f>
        <v>1850</v>
      </c>
      <c r="K17" s="66">
        <f t="shared" si="0"/>
        <v>22200</v>
      </c>
      <c r="L17" s="61"/>
      <c r="M17" s="67">
        <f t="shared" si="1"/>
        <v>0</v>
      </c>
      <c r="N17" s="67"/>
      <c r="O17" s="67"/>
      <c r="P17" s="67" t="str">
        <f t="shared" si="2"/>
        <v>・ジャッキベース</v>
      </c>
      <c r="Q17" s="67"/>
      <c r="R17" s="67"/>
      <c r="S17" s="63">
        <f t="shared" si="3"/>
        <v>12</v>
      </c>
      <c r="T17" s="67" t="str">
        <f t="shared" si="3"/>
        <v>本</v>
      </c>
      <c r="U17" s="65">
        <f t="shared" si="4"/>
        <v>2775</v>
      </c>
      <c r="V17" s="66">
        <f t="shared" si="5"/>
        <v>33300</v>
      </c>
      <c r="W17" s="67">
        <f t="shared" si="6"/>
        <v>0</v>
      </c>
    </row>
    <row r="18" spans="2:23" x14ac:dyDescent="0.4">
      <c r="B18" s="60"/>
      <c r="C18" s="61"/>
      <c r="D18" s="62"/>
      <c r="E18" s="62" t="s">
        <v>39</v>
      </c>
      <c r="F18" s="62"/>
      <c r="G18" s="61"/>
      <c r="H18" s="63">
        <f>ROUNDUP($H$15,2)</f>
        <v>12</v>
      </c>
      <c r="I18" s="64" t="s">
        <v>40</v>
      </c>
      <c r="J18" s="65">
        <f>ROUNDDOWN($G$1*950,0)</f>
        <v>950</v>
      </c>
      <c r="K18" s="66">
        <f t="shared" si="0"/>
        <v>11400</v>
      </c>
      <c r="L18" s="61"/>
      <c r="M18" s="67">
        <f t="shared" si="1"/>
        <v>0</v>
      </c>
      <c r="N18" s="67"/>
      <c r="O18" s="67"/>
      <c r="P18" s="67" t="str">
        <f t="shared" si="2"/>
        <v>・ジャッキベース用カバー</v>
      </c>
      <c r="Q18" s="67"/>
      <c r="R18" s="67"/>
      <c r="S18" s="63">
        <f t="shared" si="3"/>
        <v>12</v>
      </c>
      <c r="T18" s="67" t="str">
        <f t="shared" si="3"/>
        <v>枚</v>
      </c>
      <c r="U18" s="65">
        <f t="shared" si="4"/>
        <v>1425</v>
      </c>
      <c r="V18" s="66">
        <f t="shared" si="5"/>
        <v>17100</v>
      </c>
      <c r="W18" s="67">
        <f t="shared" si="6"/>
        <v>0</v>
      </c>
    </row>
    <row r="19" spans="2:23" x14ac:dyDescent="0.4">
      <c r="B19" s="60"/>
      <c r="C19" s="61"/>
      <c r="D19" s="62"/>
      <c r="E19" s="62" t="s">
        <v>41</v>
      </c>
      <c r="F19" s="62"/>
      <c r="G19" s="61"/>
      <c r="H19" s="63">
        <f>ROUNDUP($H$15,2)</f>
        <v>12</v>
      </c>
      <c r="I19" s="64" t="s">
        <v>40</v>
      </c>
      <c r="J19" s="65">
        <f>ROUNDDOWN($G$1*2180,0)</f>
        <v>2180</v>
      </c>
      <c r="K19" s="66">
        <f t="shared" si="0"/>
        <v>26160</v>
      </c>
      <c r="L19" s="61"/>
      <c r="M19" s="67">
        <f t="shared" si="1"/>
        <v>0</v>
      </c>
      <c r="N19" s="67"/>
      <c r="O19" s="67"/>
      <c r="P19" s="67" t="str">
        <f t="shared" si="2"/>
        <v>・大型丁番＋ステンレス長ビス</v>
      </c>
      <c r="Q19" s="67"/>
      <c r="R19" s="67"/>
      <c r="S19" s="63">
        <f t="shared" si="3"/>
        <v>12</v>
      </c>
      <c r="T19" s="67" t="str">
        <f t="shared" si="3"/>
        <v>枚</v>
      </c>
      <c r="U19" s="65">
        <f t="shared" si="4"/>
        <v>3270</v>
      </c>
      <c r="V19" s="66">
        <f t="shared" si="5"/>
        <v>39240</v>
      </c>
      <c r="W19" s="67">
        <f t="shared" si="6"/>
        <v>0</v>
      </c>
    </row>
    <row r="20" spans="2:23" x14ac:dyDescent="0.4">
      <c r="B20" s="60"/>
      <c r="C20" s="61"/>
      <c r="D20" s="62"/>
      <c r="E20" s="62" t="s">
        <v>42</v>
      </c>
      <c r="F20" s="62"/>
      <c r="G20" s="61"/>
      <c r="H20" s="63">
        <f>ROUNDUP(4,2)</f>
        <v>4</v>
      </c>
      <c r="I20" s="64" t="s">
        <v>40</v>
      </c>
      <c r="J20" s="65">
        <f>ROUNDDOWN($G$1*510,0)</f>
        <v>510</v>
      </c>
      <c r="K20" s="66">
        <f t="shared" si="0"/>
        <v>2040</v>
      </c>
      <c r="L20" s="68"/>
      <c r="M20" s="67">
        <f t="shared" si="1"/>
        <v>0</v>
      </c>
      <c r="N20" s="67"/>
      <c r="O20" s="67"/>
      <c r="P20" s="67" t="str">
        <f t="shared" si="2"/>
        <v>・床用補強金物</v>
      </c>
      <c r="Q20" s="67"/>
      <c r="R20" s="67"/>
      <c r="S20" s="63">
        <f t="shared" si="3"/>
        <v>4</v>
      </c>
      <c r="T20" s="67" t="str">
        <f t="shared" si="3"/>
        <v>枚</v>
      </c>
      <c r="U20" s="65">
        <f t="shared" si="4"/>
        <v>765</v>
      </c>
      <c r="V20" s="66">
        <f t="shared" si="5"/>
        <v>3060</v>
      </c>
      <c r="W20" s="67">
        <f t="shared" si="6"/>
        <v>0</v>
      </c>
    </row>
    <row r="21" spans="2:23" x14ac:dyDescent="0.4">
      <c r="B21" s="60"/>
      <c r="C21" s="61"/>
      <c r="D21" s="62"/>
      <c r="E21" s="62" t="s">
        <v>43</v>
      </c>
      <c r="F21" s="62"/>
      <c r="G21" s="61"/>
      <c r="H21" s="63">
        <f>ROUNDUP(4,2)</f>
        <v>4</v>
      </c>
      <c r="I21" s="64" t="s">
        <v>40</v>
      </c>
      <c r="J21" s="65">
        <f>ROUNDDOWN($G$1*510,0)</f>
        <v>510</v>
      </c>
      <c r="K21" s="66">
        <f t="shared" si="0"/>
        <v>2040</v>
      </c>
      <c r="L21" s="68">
        <f>SUM(K15:K21)</f>
        <v>82284</v>
      </c>
      <c r="M21" s="67">
        <f t="shared" si="1"/>
        <v>0</v>
      </c>
      <c r="N21" s="67"/>
      <c r="O21" s="67"/>
      <c r="P21" s="67" t="str">
        <f t="shared" si="2"/>
        <v>・その他の金物</v>
      </c>
      <c r="Q21" s="67"/>
      <c r="R21" s="67"/>
      <c r="S21" s="63">
        <f t="shared" si="3"/>
        <v>4</v>
      </c>
      <c r="T21" s="67" t="str">
        <f t="shared" si="3"/>
        <v>枚</v>
      </c>
      <c r="U21" s="65">
        <f t="shared" si="4"/>
        <v>765</v>
      </c>
      <c r="V21" s="66">
        <f t="shared" si="5"/>
        <v>3060</v>
      </c>
      <c r="W21" s="67">
        <f t="shared" si="6"/>
        <v>82284</v>
      </c>
    </row>
    <row r="22" spans="2:23" s="122" customFormat="1" x14ac:dyDescent="0.4">
      <c r="B22" s="112" t="s">
        <v>106</v>
      </c>
      <c r="C22" s="112" t="s">
        <v>107</v>
      </c>
      <c r="D22" s="113"/>
      <c r="E22" s="113" t="s">
        <v>44</v>
      </c>
      <c r="F22" s="113"/>
      <c r="G22" s="114"/>
      <c r="H22" s="115">
        <f>ROUNDUP(23*2,2)</f>
        <v>46</v>
      </c>
      <c r="I22" s="116" t="s">
        <v>35</v>
      </c>
      <c r="J22" s="117">
        <f>ROUNDDOWN($G$1*635,0)</f>
        <v>635</v>
      </c>
      <c r="K22" s="118">
        <f t="shared" si="0"/>
        <v>29210</v>
      </c>
      <c r="L22" s="114" t="s">
        <v>45</v>
      </c>
      <c r="M22" s="119" t="str">
        <f t="shared" si="1"/>
        <v>本体</v>
      </c>
      <c r="N22" s="119"/>
      <c r="O22" s="119"/>
      <c r="P22" s="119" t="str">
        <f t="shared" si="2"/>
        <v>・204材L=6f</v>
      </c>
      <c r="Q22" s="119"/>
      <c r="R22" s="119"/>
      <c r="S22" s="115">
        <f t="shared" si="3"/>
        <v>46</v>
      </c>
      <c r="T22" s="119" t="str">
        <f t="shared" si="3"/>
        <v>本</v>
      </c>
      <c r="U22" s="117">
        <f t="shared" si="4"/>
        <v>952</v>
      </c>
      <c r="V22" s="118">
        <f t="shared" si="5"/>
        <v>43792</v>
      </c>
      <c r="W22" s="119" t="str">
        <f t="shared" si="6"/>
        <v>床天井根太</v>
      </c>
    </row>
    <row r="23" spans="2:23" s="122" customFormat="1" x14ac:dyDescent="0.4">
      <c r="B23" s="112"/>
      <c r="C23" s="114" t="s">
        <v>108</v>
      </c>
      <c r="D23" s="113"/>
      <c r="E23" s="113" t="s">
        <v>46</v>
      </c>
      <c r="F23" s="113"/>
      <c r="G23" s="114"/>
      <c r="H23" s="115">
        <f>ROUNDUP(58,2)</f>
        <v>58</v>
      </c>
      <c r="I23" s="116" t="s">
        <v>35</v>
      </c>
      <c r="J23" s="117">
        <f>ROUNDDOWN($G$1*635/6*8,0)</f>
        <v>846</v>
      </c>
      <c r="K23" s="118">
        <f t="shared" si="0"/>
        <v>49068</v>
      </c>
      <c r="L23" s="114" t="s">
        <v>47</v>
      </c>
      <c r="M23" s="119">
        <f t="shared" si="1"/>
        <v>0</v>
      </c>
      <c r="N23" s="119"/>
      <c r="O23" s="119"/>
      <c r="P23" s="119" t="str">
        <f t="shared" si="2"/>
        <v>・204材L=8f</v>
      </c>
      <c r="Q23" s="119"/>
      <c r="R23" s="119"/>
      <c r="S23" s="115">
        <f t="shared" si="3"/>
        <v>58</v>
      </c>
      <c r="T23" s="119" t="str">
        <f t="shared" si="3"/>
        <v>本</v>
      </c>
      <c r="U23" s="117">
        <f t="shared" si="4"/>
        <v>1269</v>
      </c>
      <c r="V23" s="118">
        <f t="shared" si="5"/>
        <v>73602</v>
      </c>
      <c r="W23" s="119" t="str">
        <f t="shared" si="6"/>
        <v>壁用</v>
      </c>
    </row>
    <row r="24" spans="2:23" s="122" customFormat="1" x14ac:dyDescent="0.4">
      <c r="B24" s="112"/>
      <c r="C24" s="114"/>
      <c r="D24" s="113"/>
      <c r="E24" s="113" t="s">
        <v>48</v>
      </c>
      <c r="F24" s="113"/>
      <c r="G24" s="114"/>
      <c r="H24" s="115">
        <f>ROUNDUP(8,2)</f>
        <v>8</v>
      </c>
      <c r="I24" s="116" t="s">
        <v>35</v>
      </c>
      <c r="J24" s="117">
        <f>ROUNDDOWN($G$1*635/6*12,0)</f>
        <v>1270</v>
      </c>
      <c r="K24" s="118">
        <f t="shared" si="0"/>
        <v>10160</v>
      </c>
      <c r="L24" s="114" t="s">
        <v>49</v>
      </c>
      <c r="M24" s="119">
        <f t="shared" si="1"/>
        <v>0</v>
      </c>
      <c r="N24" s="119"/>
      <c r="O24" s="119"/>
      <c r="P24" s="119" t="str">
        <f t="shared" si="2"/>
        <v>・204材L=12f</v>
      </c>
      <c r="Q24" s="119"/>
      <c r="R24" s="119"/>
      <c r="S24" s="115">
        <f t="shared" si="3"/>
        <v>8</v>
      </c>
      <c r="T24" s="119" t="str">
        <f t="shared" si="3"/>
        <v>本</v>
      </c>
      <c r="U24" s="117">
        <f t="shared" si="4"/>
        <v>1905</v>
      </c>
      <c r="V24" s="118">
        <f t="shared" si="5"/>
        <v>15240</v>
      </c>
      <c r="W24" s="119" t="str">
        <f t="shared" si="6"/>
        <v>上下枠根太破風</v>
      </c>
    </row>
    <row r="25" spans="2:23" s="122" customFormat="1" x14ac:dyDescent="0.4">
      <c r="B25" s="112"/>
      <c r="C25" s="114"/>
      <c r="D25" s="113"/>
      <c r="E25" s="113" t="s">
        <v>50</v>
      </c>
      <c r="F25" s="113"/>
      <c r="G25" s="114"/>
      <c r="H25" s="115">
        <f>ROUNDUP(20,2)</f>
        <v>20</v>
      </c>
      <c r="I25" s="116" t="s">
        <v>35</v>
      </c>
      <c r="J25" s="117">
        <f>ROUNDDOWN($G$1*635/6*16,0)</f>
        <v>1693</v>
      </c>
      <c r="K25" s="118">
        <f t="shared" si="0"/>
        <v>33860</v>
      </c>
      <c r="L25" s="114" t="s">
        <v>51</v>
      </c>
      <c r="M25" s="119">
        <f t="shared" si="1"/>
        <v>0</v>
      </c>
      <c r="N25" s="119"/>
      <c r="O25" s="119"/>
      <c r="P25" s="119" t="str">
        <f t="shared" si="2"/>
        <v>・204材L=16f</v>
      </c>
      <c r="Q25" s="119"/>
      <c r="R25" s="119"/>
      <c r="S25" s="115">
        <f t="shared" si="3"/>
        <v>20</v>
      </c>
      <c r="T25" s="119" t="str">
        <f t="shared" si="3"/>
        <v>本</v>
      </c>
      <c r="U25" s="117">
        <f t="shared" si="4"/>
        <v>2539</v>
      </c>
      <c r="V25" s="118">
        <f t="shared" si="5"/>
        <v>50780</v>
      </c>
      <c r="W25" s="119" t="str">
        <f t="shared" si="6"/>
        <v>同上</v>
      </c>
    </row>
    <row r="26" spans="2:23" s="122" customFormat="1" x14ac:dyDescent="0.4">
      <c r="B26" s="112"/>
      <c r="C26" s="114"/>
      <c r="D26" s="113"/>
      <c r="E26" s="113" t="s">
        <v>48</v>
      </c>
      <c r="F26" s="113"/>
      <c r="G26" s="114"/>
      <c r="H26" s="115">
        <f>ROUNDUP(13,2)</f>
        <v>13</v>
      </c>
      <c r="I26" s="116" t="s">
        <v>35</v>
      </c>
      <c r="J26" s="117">
        <f>ROUNDDOWN($G$1*635/6*12,0)</f>
        <v>1270</v>
      </c>
      <c r="K26" s="118">
        <f t="shared" si="0"/>
        <v>16510</v>
      </c>
      <c r="L26" s="114" t="s">
        <v>52</v>
      </c>
      <c r="M26" s="119">
        <f t="shared" si="1"/>
        <v>0</v>
      </c>
      <c r="N26" s="119"/>
      <c r="O26" s="119"/>
      <c r="P26" s="119" t="str">
        <f t="shared" si="2"/>
        <v>・204材L=12f</v>
      </c>
      <c r="Q26" s="119"/>
      <c r="R26" s="119"/>
      <c r="S26" s="115">
        <f t="shared" si="3"/>
        <v>13</v>
      </c>
      <c r="T26" s="119" t="str">
        <f t="shared" si="3"/>
        <v>本</v>
      </c>
      <c r="U26" s="117">
        <f t="shared" si="4"/>
        <v>1905</v>
      </c>
      <c r="V26" s="118">
        <f t="shared" si="5"/>
        <v>24765</v>
      </c>
      <c r="W26" s="119" t="str">
        <f t="shared" si="6"/>
        <v>屋根タルキ</v>
      </c>
    </row>
    <row r="27" spans="2:23" s="122" customFormat="1" x14ac:dyDescent="0.4">
      <c r="B27" s="112"/>
      <c r="C27" s="114"/>
      <c r="D27" s="113"/>
      <c r="E27" s="113" t="s">
        <v>53</v>
      </c>
      <c r="F27" s="113"/>
      <c r="G27" s="114"/>
      <c r="H27" s="115">
        <f>ROUNDUP(12+6,2)</f>
        <v>18</v>
      </c>
      <c r="I27" s="116" t="s">
        <v>35</v>
      </c>
      <c r="J27" s="117">
        <f>ROUNDDOWN($G$1*362,0)</f>
        <v>362</v>
      </c>
      <c r="K27" s="118">
        <f>ROUNDDOWN(H27*J27,0)</f>
        <v>6516</v>
      </c>
      <c r="L27" s="121"/>
      <c r="M27" s="119">
        <f>B27</f>
        <v>0</v>
      </c>
      <c r="N27" s="119"/>
      <c r="O27" s="119"/>
      <c r="P27" s="119" t="str">
        <f>E27</f>
        <v>・104材柱パイプ囲み用</v>
      </c>
      <c r="Q27" s="119"/>
      <c r="R27" s="119"/>
      <c r="S27" s="115">
        <f t="shared" ref="S27" si="7">H27</f>
        <v>18</v>
      </c>
      <c r="T27" s="119" t="str">
        <f t="shared" ref="T27" si="8">I27</f>
        <v>本</v>
      </c>
      <c r="U27" s="117">
        <f>ROUNDDOWN(J27*$K$1,0)</f>
        <v>543</v>
      </c>
      <c r="V27" s="118">
        <f>ROUNDDOWN(S27*U27,0)</f>
        <v>9774</v>
      </c>
      <c r="W27" s="119">
        <f>L27</f>
        <v>0</v>
      </c>
    </row>
    <row r="28" spans="2:23" s="122" customFormat="1" x14ac:dyDescent="0.4">
      <c r="B28" s="112"/>
      <c r="C28" s="114"/>
      <c r="D28" s="113"/>
      <c r="E28" s="113" t="s">
        <v>111</v>
      </c>
      <c r="F28" s="113"/>
      <c r="G28" s="114"/>
      <c r="H28" s="115">
        <v>5</v>
      </c>
      <c r="I28" s="116" t="s">
        <v>94</v>
      </c>
      <c r="J28" s="117">
        <v>25000</v>
      </c>
      <c r="K28" s="118">
        <f>ROUNDDOWN(H28*J28,0)</f>
        <v>125000</v>
      </c>
      <c r="L28" s="160">
        <f>SUM(K22:K28)</f>
        <v>270324</v>
      </c>
      <c r="M28" s="119">
        <f>B28</f>
        <v>0</v>
      </c>
      <c r="N28" s="119"/>
      <c r="O28" s="119"/>
      <c r="P28" s="119" t="str">
        <f>E28</f>
        <v>・本体組立費</v>
      </c>
      <c r="Q28" s="119"/>
      <c r="R28" s="119"/>
      <c r="S28" s="115">
        <f t="shared" si="3"/>
        <v>5</v>
      </c>
      <c r="T28" s="119" t="str">
        <f t="shared" si="3"/>
        <v>人</v>
      </c>
      <c r="U28" s="117">
        <f>ROUNDDOWN(J28*$K$1,0)</f>
        <v>37500</v>
      </c>
      <c r="V28" s="118">
        <f>ROUNDDOWN(S28*U28,0)</f>
        <v>187500</v>
      </c>
      <c r="W28" s="119">
        <f>L28</f>
        <v>270324</v>
      </c>
    </row>
    <row r="29" spans="2:23" x14ac:dyDescent="0.4">
      <c r="B29" s="60" t="s">
        <v>106</v>
      </c>
      <c r="C29" s="60" t="s">
        <v>54</v>
      </c>
      <c r="D29" s="62"/>
      <c r="E29" s="62" t="s">
        <v>55</v>
      </c>
      <c r="F29" s="62"/>
      <c r="G29" s="61"/>
      <c r="H29" s="63">
        <f>ROUNDUP(4*2+5*2,2)</f>
        <v>18</v>
      </c>
      <c r="I29" s="64" t="s">
        <v>40</v>
      </c>
      <c r="J29" s="65">
        <f>ROUNDDOWN($G$1*1528/6*8,0)</f>
        <v>2037</v>
      </c>
      <c r="K29" s="66">
        <f>ROUNDDOWN(H29*J29,0)</f>
        <v>36666</v>
      </c>
      <c r="L29" s="61"/>
      <c r="M29" s="67" t="str">
        <f>B29</f>
        <v>本体</v>
      </c>
      <c r="N29" s="67"/>
      <c r="O29" s="67"/>
      <c r="P29" s="67" t="str">
        <f>E29</f>
        <v>・OSB合板9×910×2,420</v>
      </c>
      <c r="Q29" s="67"/>
      <c r="R29" s="67"/>
      <c r="S29" s="63">
        <f t="shared" si="3"/>
        <v>18</v>
      </c>
      <c r="T29" s="67" t="str">
        <f t="shared" si="3"/>
        <v>枚</v>
      </c>
      <c r="U29" s="65">
        <f t="shared" ref="U29:U63" si="9">ROUNDDOWN(J29*$K$1,0)</f>
        <v>3055</v>
      </c>
      <c r="V29" s="66">
        <f>ROUNDDOWN(S29*U29,0)</f>
        <v>54990</v>
      </c>
      <c r="W29" s="67">
        <f>L29</f>
        <v>0</v>
      </c>
    </row>
    <row r="30" spans="2:23" x14ac:dyDescent="0.4">
      <c r="B30" s="60"/>
      <c r="C30" s="61"/>
      <c r="D30" s="62"/>
      <c r="E30" s="62" t="s">
        <v>56</v>
      </c>
      <c r="F30" s="62"/>
      <c r="G30" s="61"/>
      <c r="H30" s="63">
        <f>ROUNDUP(3.64*4.55/1.82/0.91+2,2)</f>
        <v>12</v>
      </c>
      <c r="I30" s="64" t="s">
        <v>40</v>
      </c>
      <c r="J30" s="65">
        <f>ROUNDDOWN($G$1*1528,0)</f>
        <v>1528</v>
      </c>
      <c r="K30" s="66">
        <f>ROUNDDOWN(H30*J30,0)</f>
        <v>18336</v>
      </c>
      <c r="L30" s="61"/>
      <c r="M30" s="67">
        <f>B30</f>
        <v>0</v>
      </c>
      <c r="N30" s="67"/>
      <c r="O30" s="67"/>
      <c r="P30" s="67" t="str">
        <f>E30</f>
        <v>・OSB合板9×910×1,820</v>
      </c>
      <c r="Q30" s="67"/>
      <c r="R30" s="67"/>
      <c r="S30" s="63">
        <f t="shared" si="3"/>
        <v>12</v>
      </c>
      <c r="T30" s="67" t="str">
        <f t="shared" si="3"/>
        <v>枚</v>
      </c>
      <c r="U30" s="65">
        <f t="shared" si="9"/>
        <v>2292</v>
      </c>
      <c r="V30" s="66">
        <f>ROUNDDOWN(S30*U30,0)</f>
        <v>27504</v>
      </c>
      <c r="W30" s="67">
        <f>L30</f>
        <v>0</v>
      </c>
    </row>
    <row r="31" spans="2:23" x14ac:dyDescent="0.4">
      <c r="B31" s="60"/>
      <c r="C31" s="61"/>
      <c r="D31" s="62"/>
      <c r="E31" s="62" t="s">
        <v>57</v>
      </c>
      <c r="F31" s="62"/>
      <c r="G31" s="61"/>
      <c r="H31" s="63">
        <f>ROUNDUP((3.64+4.55)*2*3/50,0)</f>
        <v>1</v>
      </c>
      <c r="I31" s="64" t="s">
        <v>35</v>
      </c>
      <c r="J31" s="65">
        <f>ROUNDDOWN($G$1*1200,0)</f>
        <v>1200</v>
      </c>
      <c r="K31" s="66">
        <f>ROUNDDOWN(H31*J31,0)</f>
        <v>1200</v>
      </c>
      <c r="L31" s="68"/>
      <c r="M31" s="67">
        <f>B31</f>
        <v>0</v>
      </c>
      <c r="N31" s="67"/>
      <c r="O31" s="67"/>
      <c r="P31" s="67" t="str">
        <f>E31</f>
        <v>・防湿シート50m巻き</v>
      </c>
      <c r="Q31" s="67"/>
      <c r="R31" s="67"/>
      <c r="S31" s="63">
        <f t="shared" si="3"/>
        <v>1</v>
      </c>
      <c r="T31" s="67" t="str">
        <f t="shared" si="3"/>
        <v>本</v>
      </c>
      <c r="U31" s="65">
        <f t="shared" si="9"/>
        <v>1800</v>
      </c>
      <c r="V31" s="66">
        <f>ROUNDDOWN(S31*U31,0)</f>
        <v>1800</v>
      </c>
      <c r="W31" s="67">
        <f>L31</f>
        <v>0</v>
      </c>
    </row>
    <row r="32" spans="2:23" x14ac:dyDescent="0.4">
      <c r="B32" s="60"/>
      <c r="C32" s="61"/>
      <c r="D32" s="62"/>
      <c r="E32" s="62" t="s">
        <v>112</v>
      </c>
      <c r="F32" s="62"/>
      <c r="G32" s="61"/>
      <c r="H32" s="63">
        <v>1</v>
      </c>
      <c r="I32" s="64" t="s">
        <v>94</v>
      </c>
      <c r="J32" s="117">
        <v>25000</v>
      </c>
      <c r="K32" s="66">
        <f>ROUNDDOWN(H32*J32,0)</f>
        <v>25000</v>
      </c>
      <c r="L32" s="160">
        <f>SUM(K29:K32)</f>
        <v>81202</v>
      </c>
      <c r="M32" s="67">
        <f>B32</f>
        <v>0</v>
      </c>
      <c r="N32" s="67"/>
      <c r="O32" s="67"/>
      <c r="P32" s="67" t="str">
        <f>E32</f>
        <v>・合板施工費</v>
      </c>
      <c r="Q32" s="67"/>
      <c r="R32" s="67"/>
      <c r="S32" s="63">
        <f t="shared" ref="S32" si="10">H32</f>
        <v>1</v>
      </c>
      <c r="T32" s="67" t="str">
        <f t="shared" ref="T32" si="11">I32</f>
        <v>人</v>
      </c>
      <c r="U32" s="65">
        <f t="shared" ref="U32" si="12">ROUNDDOWN(J32*$K$1,0)</f>
        <v>37500</v>
      </c>
      <c r="V32" s="66">
        <f>ROUNDDOWN(S32*U32,0)</f>
        <v>37500</v>
      </c>
      <c r="W32" s="67">
        <f>L32</f>
        <v>81202</v>
      </c>
    </row>
    <row r="33" spans="2:23" x14ac:dyDescent="0.4">
      <c r="B33" s="112" t="s">
        <v>106</v>
      </c>
      <c r="C33" s="112" t="s">
        <v>66</v>
      </c>
      <c r="D33" s="114"/>
      <c r="E33" s="114" t="s">
        <v>67</v>
      </c>
      <c r="F33" s="114"/>
      <c r="G33" s="120"/>
      <c r="H33" s="115">
        <f>ROUNDUP(8.5,2)</f>
        <v>8.5</v>
      </c>
      <c r="I33" s="116" t="s">
        <v>40</v>
      </c>
      <c r="J33" s="117">
        <f>ROUNDDOWN($G$1*2709+3255,0)</f>
        <v>5964</v>
      </c>
      <c r="K33" s="118">
        <f t="shared" ref="K33:K57" si="13">ROUNDDOWN(H33*J33,0)</f>
        <v>50694</v>
      </c>
      <c r="L33" s="114"/>
      <c r="M33" s="119" t="str">
        <f t="shared" ref="M33:M53" si="14">B33</f>
        <v>本体</v>
      </c>
      <c r="N33" s="119"/>
      <c r="O33" s="119"/>
      <c r="P33" s="119" t="str">
        <f t="shared" ref="P33:P53" si="15">E33</f>
        <v>・床用スタイロフォーム90㎜</v>
      </c>
      <c r="Q33" s="119"/>
      <c r="R33" s="119"/>
      <c r="S33" s="115">
        <f t="shared" si="3"/>
        <v>8.5</v>
      </c>
      <c r="T33" s="119" t="str">
        <f t="shared" si="3"/>
        <v>枚</v>
      </c>
      <c r="U33" s="117">
        <f t="shared" si="9"/>
        <v>8946</v>
      </c>
      <c r="V33" s="118">
        <f t="shared" ref="V33:V53" si="16">ROUNDDOWN(S33*U33,0)</f>
        <v>76041</v>
      </c>
      <c r="W33" s="119">
        <f t="shared" ref="W33:W53" si="17">L33</f>
        <v>0</v>
      </c>
    </row>
    <row r="34" spans="2:23" x14ac:dyDescent="0.4">
      <c r="B34" s="112"/>
      <c r="C34" s="114"/>
      <c r="D34" s="113"/>
      <c r="E34" s="113" t="s">
        <v>68</v>
      </c>
      <c r="F34" s="113"/>
      <c r="G34" s="114"/>
      <c r="H34" s="115">
        <f>ROUNDUP(H29*0.91*2.4/(1.82*0.91),0)</f>
        <v>24</v>
      </c>
      <c r="I34" s="116" t="s">
        <v>40</v>
      </c>
      <c r="J34" s="117">
        <f>ROUNDDOWN($G$1*2709+3255,0)</f>
        <v>5964</v>
      </c>
      <c r="K34" s="118">
        <f t="shared" si="13"/>
        <v>143136</v>
      </c>
      <c r="L34" s="114"/>
      <c r="M34" s="119">
        <f t="shared" si="14"/>
        <v>0</v>
      </c>
      <c r="N34" s="119"/>
      <c r="O34" s="119"/>
      <c r="P34" s="119" t="str">
        <f t="shared" si="15"/>
        <v>・壁用スタイロフォーム90㎜</v>
      </c>
      <c r="Q34" s="119"/>
      <c r="R34" s="119"/>
      <c r="S34" s="115">
        <f t="shared" si="3"/>
        <v>24</v>
      </c>
      <c r="T34" s="119" t="str">
        <f t="shared" si="3"/>
        <v>枚</v>
      </c>
      <c r="U34" s="117">
        <f t="shared" si="9"/>
        <v>8946</v>
      </c>
      <c r="V34" s="118">
        <f t="shared" si="16"/>
        <v>214704</v>
      </c>
      <c r="W34" s="119">
        <f t="shared" si="17"/>
        <v>0</v>
      </c>
    </row>
    <row r="35" spans="2:23" x14ac:dyDescent="0.4">
      <c r="B35" s="112"/>
      <c r="C35" s="114"/>
      <c r="D35" s="113"/>
      <c r="E35" s="113" t="s">
        <v>69</v>
      </c>
      <c r="F35" s="113"/>
      <c r="G35" s="114"/>
      <c r="H35" s="115">
        <f>ROUNDUP(10,2)</f>
        <v>10</v>
      </c>
      <c r="I35" s="116" t="s">
        <v>40</v>
      </c>
      <c r="J35" s="117">
        <f>ROUNDDOWN($G$1*2709+3255,0)</f>
        <v>5964</v>
      </c>
      <c r="K35" s="118">
        <f t="shared" si="13"/>
        <v>59640</v>
      </c>
      <c r="L35" s="160">
        <f>SUM(K33:K35)</f>
        <v>253470</v>
      </c>
      <c r="M35" s="119">
        <f t="shared" si="14"/>
        <v>0</v>
      </c>
      <c r="N35" s="119"/>
      <c r="O35" s="119"/>
      <c r="P35" s="119" t="str">
        <f t="shared" si="15"/>
        <v>・天井用スタイロフォーム90㎜</v>
      </c>
      <c r="Q35" s="119"/>
      <c r="R35" s="119"/>
      <c r="S35" s="115">
        <f t="shared" si="3"/>
        <v>10</v>
      </c>
      <c r="T35" s="119" t="str">
        <f t="shared" si="3"/>
        <v>枚</v>
      </c>
      <c r="U35" s="117">
        <f t="shared" si="9"/>
        <v>8946</v>
      </c>
      <c r="V35" s="118">
        <f t="shared" si="16"/>
        <v>89460</v>
      </c>
      <c r="W35" s="119">
        <f t="shared" si="17"/>
        <v>253470</v>
      </c>
    </row>
    <row r="36" spans="2:23" x14ac:dyDescent="0.4">
      <c r="B36" s="112" t="s">
        <v>106</v>
      </c>
      <c r="C36" s="112" t="s">
        <v>109</v>
      </c>
      <c r="D36" s="113"/>
      <c r="E36" s="114" t="s">
        <v>58</v>
      </c>
      <c r="F36" s="113"/>
      <c r="G36" s="114"/>
      <c r="H36" s="115">
        <f>ROUNDUP(5*4.5,0)</f>
        <v>23</v>
      </c>
      <c r="I36" s="116" t="s">
        <v>113</v>
      </c>
      <c r="J36" s="117">
        <f>ROUNDDOWN($G$1*2300,0)</f>
        <v>2300</v>
      </c>
      <c r="K36" s="118">
        <f>ROUNDDOWN(H36*J36,0)</f>
        <v>52900</v>
      </c>
      <c r="L36" s="114" t="s">
        <v>60</v>
      </c>
      <c r="M36" s="119" t="str">
        <f>B36</f>
        <v>本体</v>
      </c>
      <c r="N36" s="119"/>
      <c r="O36" s="119"/>
      <c r="P36" s="119" t="str">
        <f>E36</f>
        <v>・屋根ガルバニュウム鋼板</v>
      </c>
      <c r="Q36" s="119"/>
      <c r="R36" s="119"/>
      <c r="S36" s="115">
        <f>H36</f>
        <v>23</v>
      </c>
      <c r="T36" s="119" t="str">
        <f>I36</f>
        <v>㎡</v>
      </c>
      <c r="U36" s="117">
        <f>ROUNDDOWN(J36*$K$1,0)</f>
        <v>3450</v>
      </c>
      <c r="V36" s="118">
        <f>ROUNDDOWN(S36*U36,0)</f>
        <v>79350</v>
      </c>
      <c r="W36" s="119" t="str">
        <f>L36</f>
        <v>4.5m×5本 素地</v>
      </c>
    </row>
    <row r="37" spans="2:23" x14ac:dyDescent="0.4">
      <c r="B37" s="112" t="s">
        <v>61</v>
      </c>
      <c r="C37" s="114" t="s">
        <v>110</v>
      </c>
      <c r="D37" s="113"/>
      <c r="E37" s="113" t="s">
        <v>62</v>
      </c>
      <c r="F37" s="113"/>
      <c r="G37" s="114"/>
      <c r="H37" s="115">
        <v>5</v>
      </c>
      <c r="I37" s="116" t="s">
        <v>35</v>
      </c>
      <c r="J37" s="117">
        <f>ROUNDDOWN($G$1*1500,0)</f>
        <v>1500</v>
      </c>
      <c r="K37" s="118">
        <f>ROUNDDOWN(H37*J37,0)</f>
        <v>7500</v>
      </c>
      <c r="L37" s="114" t="s">
        <v>63</v>
      </c>
      <c r="M37" s="119" t="str">
        <f>B37</f>
        <v>　</v>
      </c>
      <c r="N37" s="119"/>
      <c r="O37" s="119"/>
      <c r="P37" s="119" t="str">
        <f>E37</f>
        <v>・取外し水切り糸長150㎜４ｍ</v>
      </c>
      <c r="Q37" s="119"/>
      <c r="R37" s="119"/>
      <c r="S37" s="115">
        <f>H37</f>
        <v>5</v>
      </c>
      <c r="T37" s="119" t="str">
        <f>I37</f>
        <v>本</v>
      </c>
      <c r="U37" s="117">
        <f>ROUNDDOWN(J37*$K$1,0)</f>
        <v>2250</v>
      </c>
      <c r="V37" s="118">
        <f>ROUNDDOWN(S37*U37,0)</f>
        <v>11250</v>
      </c>
      <c r="W37" s="119" t="str">
        <f>L37</f>
        <v>L=2,300㎜</v>
      </c>
    </row>
    <row r="38" spans="2:23" x14ac:dyDescent="0.4">
      <c r="B38" s="112"/>
      <c r="C38" s="114"/>
      <c r="D38" s="113"/>
      <c r="E38" s="113" t="s">
        <v>114</v>
      </c>
      <c r="F38" s="113"/>
      <c r="G38" s="114"/>
      <c r="H38" s="115">
        <f>ROUNDUP((4.8+3.9)*2*2.3,0)</f>
        <v>41</v>
      </c>
      <c r="I38" s="116" t="s">
        <v>113</v>
      </c>
      <c r="J38" s="117">
        <f>ROUNDDOWN($G$1*6500,0)</f>
        <v>6500</v>
      </c>
      <c r="K38" s="118">
        <f>ROUNDDOWN(H38*J38,0)</f>
        <v>266500</v>
      </c>
      <c r="L38" s="114" t="s">
        <v>63</v>
      </c>
      <c r="M38" s="119">
        <f>B38</f>
        <v>0</v>
      </c>
      <c r="N38" s="119"/>
      <c r="O38" s="119"/>
      <c r="P38" s="119" t="str">
        <f>E38</f>
        <v>・外壁角スパンガルバ鋼板</v>
      </c>
      <c r="Q38" s="119"/>
      <c r="R38" s="119"/>
      <c r="S38" s="115">
        <f>H38</f>
        <v>41</v>
      </c>
      <c r="T38" s="119" t="str">
        <f>I38</f>
        <v>㎡</v>
      </c>
      <c r="U38" s="117">
        <f>ROUNDDOWN(J38*$K$1,0)</f>
        <v>9750</v>
      </c>
      <c r="V38" s="118">
        <f>ROUNDDOWN(S38*U38,0)</f>
        <v>399750</v>
      </c>
      <c r="W38" s="119" t="str">
        <f>L38</f>
        <v>L=2,300㎜</v>
      </c>
    </row>
    <row r="39" spans="2:23" x14ac:dyDescent="0.4">
      <c r="B39" s="112"/>
      <c r="C39" s="114"/>
      <c r="D39" s="114"/>
      <c r="E39" s="114" t="s">
        <v>64</v>
      </c>
      <c r="F39" s="114"/>
      <c r="G39" s="120"/>
      <c r="H39" s="115">
        <f>ROUNDUP(6,2)</f>
        <v>6</v>
      </c>
      <c r="I39" s="116" t="s">
        <v>35</v>
      </c>
      <c r="J39" s="117">
        <f>ROUNDDOWN($G$1*3500,0)</f>
        <v>3500</v>
      </c>
      <c r="K39" s="118">
        <f>ROUNDDOWN(H39*J39,0)</f>
        <v>21000</v>
      </c>
      <c r="L39" s="114"/>
      <c r="M39" s="119">
        <f>B39</f>
        <v>0</v>
      </c>
      <c r="N39" s="119"/>
      <c r="O39" s="119"/>
      <c r="P39" s="119" t="str">
        <f>E39</f>
        <v>・唐草下がり40㎜L=3m</v>
      </c>
      <c r="Q39" s="119"/>
      <c r="R39" s="119"/>
      <c r="S39" s="115">
        <f>H39</f>
        <v>6</v>
      </c>
      <c r="T39" s="119" t="str">
        <f>I39</f>
        <v>本</v>
      </c>
      <c r="U39" s="117">
        <f>ROUNDDOWN(J39*$K$1,0)</f>
        <v>5250</v>
      </c>
      <c r="V39" s="118">
        <f>ROUNDDOWN(S39*U39,0)</f>
        <v>31500</v>
      </c>
      <c r="W39" s="119">
        <f>L39</f>
        <v>0</v>
      </c>
    </row>
    <row r="40" spans="2:23" x14ac:dyDescent="0.4">
      <c r="B40" s="112"/>
      <c r="C40" s="114"/>
      <c r="D40" s="113"/>
      <c r="E40" s="113" t="s">
        <v>65</v>
      </c>
      <c r="F40" s="113"/>
      <c r="G40" s="114"/>
      <c r="H40" s="115">
        <f>ROUNDUP(4*5,2)</f>
        <v>20</v>
      </c>
      <c r="I40" s="116" t="s">
        <v>113</v>
      </c>
      <c r="J40" s="117">
        <f>ROUNDDOWN($G$1*1500,0)</f>
        <v>1500</v>
      </c>
      <c r="K40" s="118">
        <f>ROUNDDOWN(H40*J40,0)</f>
        <v>30000</v>
      </c>
      <c r="L40" s="114"/>
      <c r="M40" s="119">
        <f>B40</f>
        <v>0</v>
      </c>
      <c r="N40" s="119"/>
      <c r="O40" s="119"/>
      <c r="P40" s="119" t="str">
        <f>E40</f>
        <v>・床下用ガルバニュウム鋼板</v>
      </c>
      <c r="Q40" s="119"/>
      <c r="R40" s="119"/>
      <c r="S40" s="115">
        <f>H40</f>
        <v>20</v>
      </c>
      <c r="T40" s="119" t="str">
        <f>I40</f>
        <v>㎡</v>
      </c>
      <c r="U40" s="117">
        <f>ROUNDDOWN(J40*$K$1,0)</f>
        <v>2250</v>
      </c>
      <c r="V40" s="118">
        <f>ROUNDDOWN(S40*U40,0)</f>
        <v>45000</v>
      </c>
      <c r="W40" s="119">
        <f>L40</f>
        <v>0</v>
      </c>
    </row>
    <row r="41" spans="2:23" x14ac:dyDescent="0.4">
      <c r="B41" s="112"/>
      <c r="C41" s="114"/>
      <c r="D41" s="113"/>
      <c r="E41" s="113" t="s">
        <v>116</v>
      </c>
      <c r="F41" s="113"/>
      <c r="G41" s="114"/>
      <c r="H41" s="115">
        <f>ROUNDUP(4*2.2*2,2)</f>
        <v>17.600000000000001</v>
      </c>
      <c r="I41" s="116" t="s">
        <v>113</v>
      </c>
      <c r="J41" s="117">
        <f>ROUNDDOWN($G$1*7800,0)</f>
        <v>7800</v>
      </c>
      <c r="K41" s="118">
        <f>ROUNDDOWN(H41*J41,0)</f>
        <v>137280</v>
      </c>
      <c r="L41" s="114"/>
      <c r="M41" s="119">
        <f>B41</f>
        <v>0</v>
      </c>
      <c r="N41" s="119"/>
      <c r="O41" s="119"/>
      <c r="P41" s="119" t="str">
        <f>E41</f>
        <v>・下見板張り（防腐剤塗り共）</v>
      </c>
      <c r="Q41" s="119"/>
      <c r="R41" s="119"/>
      <c r="S41" s="115">
        <f>H41</f>
        <v>17.600000000000001</v>
      </c>
      <c r="T41" s="119" t="str">
        <f>I41</f>
        <v>㎡</v>
      </c>
      <c r="U41" s="117">
        <f>ROUNDDOWN(J41*$K$1,0)</f>
        <v>11700</v>
      </c>
      <c r="V41" s="118">
        <f>ROUNDDOWN(S41*U41,0)</f>
        <v>205920</v>
      </c>
      <c r="W41" s="119">
        <f>L41</f>
        <v>0</v>
      </c>
    </row>
    <row r="42" spans="2:23" x14ac:dyDescent="0.4">
      <c r="B42" s="112"/>
      <c r="C42" s="114"/>
      <c r="D42" s="113"/>
      <c r="E42" s="113" t="s">
        <v>115</v>
      </c>
      <c r="F42" s="113"/>
      <c r="G42" s="114"/>
      <c r="H42" s="115">
        <v>3</v>
      </c>
      <c r="I42" s="116" t="s">
        <v>94</v>
      </c>
      <c r="J42" s="117">
        <f>ROUNDDOWN($G$1*25000,0)</f>
        <v>25000</v>
      </c>
      <c r="K42" s="118">
        <f>ROUNDDOWN(H42*J42,0)</f>
        <v>75000</v>
      </c>
      <c r="L42" s="160">
        <f>SUM(K36:K42)</f>
        <v>590180</v>
      </c>
      <c r="M42" s="119">
        <f>B42</f>
        <v>0</v>
      </c>
      <c r="N42" s="119"/>
      <c r="O42" s="119"/>
      <c r="P42" s="119" t="str">
        <f>E42</f>
        <v>・外壁張り手間</v>
      </c>
      <c r="Q42" s="119"/>
      <c r="R42" s="119"/>
      <c r="S42" s="115">
        <f>H42</f>
        <v>3</v>
      </c>
      <c r="T42" s="119" t="str">
        <f>I42</f>
        <v>人</v>
      </c>
      <c r="U42" s="117">
        <f>ROUNDDOWN(J42*$K$1,0)</f>
        <v>37500</v>
      </c>
      <c r="V42" s="118">
        <f>ROUNDDOWN(S42*U42,0)</f>
        <v>112500</v>
      </c>
      <c r="W42" s="119">
        <f>L42</f>
        <v>590180</v>
      </c>
    </row>
    <row r="43" spans="2:23" x14ac:dyDescent="0.4">
      <c r="B43" s="112" t="s">
        <v>106</v>
      </c>
      <c r="C43" s="114" t="s">
        <v>117</v>
      </c>
      <c r="D43" s="113"/>
      <c r="E43" s="114" t="s">
        <v>80</v>
      </c>
      <c r="F43" s="113"/>
      <c r="G43" s="114"/>
      <c r="H43" s="115">
        <v>1</v>
      </c>
      <c r="I43" s="116" t="s">
        <v>40</v>
      </c>
      <c r="J43" s="117">
        <f>ROUNDDOWN($G$1*12000,0)</f>
        <v>12000</v>
      </c>
      <c r="K43" s="118">
        <f>ROUNDDOWN(H43*J43,0)</f>
        <v>12000</v>
      </c>
      <c r="L43" s="114" t="s">
        <v>81</v>
      </c>
      <c r="M43" s="119" t="str">
        <f t="shared" ref="M43" si="18">B43</f>
        <v>本体</v>
      </c>
      <c r="N43" s="119"/>
      <c r="O43" s="119"/>
      <c r="P43" s="119" t="str">
        <f t="shared" ref="P43" si="19">E43</f>
        <v>・木製建具（能登ヒバ合板）</v>
      </c>
      <c r="Q43" s="119"/>
      <c r="R43" s="119"/>
      <c r="S43" s="115">
        <f t="shared" ref="S43:T43" si="20">H43</f>
        <v>1</v>
      </c>
      <c r="T43" s="119" t="str">
        <f t="shared" si="20"/>
        <v>枚</v>
      </c>
      <c r="U43" s="117">
        <f>ROUNDDOWN(J43*$K$1,0)</f>
        <v>18000</v>
      </c>
      <c r="V43" s="118">
        <f t="shared" ref="V43" si="21">ROUNDDOWN(S43*U43,0)</f>
        <v>18000</v>
      </c>
      <c r="W43" s="119" t="str">
        <f t="shared" ref="W43" si="22">L43</f>
        <v>収納・下駄箱・洗面台</v>
      </c>
    </row>
    <row r="44" spans="2:23" s="69" customFormat="1" x14ac:dyDescent="0.4">
      <c r="B44" s="112"/>
      <c r="C44" s="114"/>
      <c r="D44" s="114"/>
      <c r="E44" s="114" t="s">
        <v>82</v>
      </c>
      <c r="F44" s="114" t="s">
        <v>83</v>
      </c>
      <c r="G44" s="120"/>
      <c r="H44" s="115">
        <v>1</v>
      </c>
      <c r="I44" s="116" t="s">
        <v>77</v>
      </c>
      <c r="J44" s="117">
        <f>ROUNDDOWN($G$1*180000,0)</f>
        <v>180000</v>
      </c>
      <c r="K44" s="118">
        <f>ROUNDDOWN(H44*J44,0)</f>
        <v>180000</v>
      </c>
      <c r="L44" s="114"/>
      <c r="M44" s="119">
        <f>B44</f>
        <v>0</v>
      </c>
      <c r="N44" s="119"/>
      <c r="O44" s="119"/>
      <c r="P44" s="119" t="str">
        <f>E44</f>
        <v>・サッシ</v>
      </c>
      <c r="Q44" s="119"/>
      <c r="R44" s="119"/>
      <c r="S44" s="115">
        <f>H44</f>
        <v>1</v>
      </c>
      <c r="T44" s="119" t="str">
        <f>I44</f>
        <v>台</v>
      </c>
      <c r="U44" s="117">
        <f>ROUNDDOWN(J44*$K$1,0)</f>
        <v>270000</v>
      </c>
      <c r="V44" s="118">
        <f>ROUNDDOWN(S44*U44,0)</f>
        <v>270000</v>
      </c>
      <c r="W44" s="119">
        <f>L44</f>
        <v>0</v>
      </c>
    </row>
    <row r="45" spans="2:23" s="69" customFormat="1" x14ac:dyDescent="0.4">
      <c r="B45" s="112"/>
      <c r="C45" s="114"/>
      <c r="D45" s="113"/>
      <c r="E45" s="114"/>
      <c r="F45" s="113" t="s">
        <v>84</v>
      </c>
      <c r="G45" s="114"/>
      <c r="H45" s="115">
        <v>1</v>
      </c>
      <c r="I45" s="116" t="s">
        <v>85</v>
      </c>
      <c r="J45" s="117">
        <f>ROUNDDOWN($G$1*125000,0)</f>
        <v>125000</v>
      </c>
      <c r="K45" s="118">
        <f>ROUNDDOWN(H45*J45,0)</f>
        <v>125000</v>
      </c>
      <c r="L45" s="160">
        <f>SUM(K43:K45)</f>
        <v>317000</v>
      </c>
      <c r="M45" s="119">
        <f>B45</f>
        <v>0</v>
      </c>
      <c r="N45" s="119"/>
      <c r="O45" s="119"/>
      <c r="P45" s="119">
        <f>E45</f>
        <v>0</v>
      </c>
      <c r="Q45" s="119"/>
      <c r="R45" s="119"/>
      <c r="S45" s="115">
        <f>H45</f>
        <v>1</v>
      </c>
      <c r="T45" s="119" t="str">
        <f>I45</f>
        <v>式</v>
      </c>
      <c r="U45" s="117">
        <f>ROUNDDOWN(J45*$K$1,0)</f>
        <v>187500</v>
      </c>
      <c r="V45" s="118">
        <f>ROUNDDOWN(S45*U45,0)</f>
        <v>187500</v>
      </c>
      <c r="W45" s="119">
        <f>L45</f>
        <v>317000</v>
      </c>
    </row>
    <row r="46" spans="2:23" x14ac:dyDescent="0.4">
      <c r="B46" s="141" t="s">
        <v>118</v>
      </c>
      <c r="C46" s="142"/>
      <c r="D46" s="143"/>
      <c r="E46" s="143"/>
      <c r="F46" s="143"/>
      <c r="G46" s="142"/>
      <c r="H46" s="144">
        <v>1</v>
      </c>
      <c r="I46" s="145" t="s">
        <v>85</v>
      </c>
      <c r="J46" s="146"/>
      <c r="K46" s="147">
        <f>ROUNDDOWN(SUM(K15:K45)*$J$1,0)</f>
        <v>239169</v>
      </c>
      <c r="L46" s="142"/>
      <c r="M46" s="141" t="str">
        <f t="shared" ref="M46" si="23">B46</f>
        <v>本体諸費用（交通費、労災、安全管理費等）</v>
      </c>
      <c r="N46" s="148"/>
      <c r="O46" s="148"/>
      <c r="P46" s="143"/>
      <c r="Q46" s="143"/>
      <c r="R46" s="142"/>
      <c r="S46" s="144">
        <f t="shared" ref="S46" si="24">H46</f>
        <v>1</v>
      </c>
      <c r="T46" s="141" t="str">
        <f t="shared" ref="T46" si="25">I46</f>
        <v>式</v>
      </c>
      <c r="U46" s="146"/>
      <c r="V46" s="147">
        <f>ROUNDDOWN(SUM(V15:V45)*$J$1,0)</f>
        <v>358746</v>
      </c>
      <c r="W46" s="148">
        <f t="shared" ref="W46" si="26">L46</f>
        <v>0</v>
      </c>
    </row>
    <row r="47" spans="2:23" s="122" customFormat="1" x14ac:dyDescent="0.4">
      <c r="B47" s="128" t="s">
        <v>137</v>
      </c>
      <c r="C47" s="129"/>
      <c r="D47" s="129"/>
      <c r="E47" s="129"/>
      <c r="F47" s="129"/>
      <c r="G47" s="130"/>
      <c r="H47" s="131"/>
      <c r="I47" s="132"/>
      <c r="J47" s="133"/>
      <c r="K47" s="134">
        <f>SUM(K15:K46)</f>
        <v>1833629</v>
      </c>
      <c r="L47" s="129"/>
      <c r="M47" s="135" t="str">
        <f t="shared" ref="M47" si="27">B47</f>
        <v>【本体価格計】</v>
      </c>
      <c r="N47" s="135"/>
      <c r="O47" s="135"/>
      <c r="P47" s="135">
        <f t="shared" ref="P47" si="28">E47</f>
        <v>0</v>
      </c>
      <c r="Q47" s="135"/>
      <c r="R47" s="135"/>
      <c r="S47" s="131">
        <f t="shared" ref="S47" si="29">H47</f>
        <v>0</v>
      </c>
      <c r="T47" s="135">
        <f t="shared" ref="T47" si="30">I47</f>
        <v>0</v>
      </c>
      <c r="U47" s="133">
        <f t="shared" ref="U47" si="31">ROUNDDOWN(J47*$K$1,0)</f>
        <v>0</v>
      </c>
      <c r="V47" s="134">
        <f>SUM(V15:V46)</f>
        <v>2750388</v>
      </c>
      <c r="W47" s="135">
        <f t="shared" ref="W47" si="32">L47</f>
        <v>0</v>
      </c>
    </row>
    <row r="48" spans="2:23" s="122" customFormat="1" x14ac:dyDescent="0.4">
      <c r="B48" s="112" t="s">
        <v>119</v>
      </c>
      <c r="C48" s="112" t="s">
        <v>120</v>
      </c>
      <c r="D48" s="114"/>
      <c r="E48" s="114" t="s">
        <v>168</v>
      </c>
      <c r="F48" s="114"/>
      <c r="G48" s="120"/>
      <c r="H48" s="115">
        <v>4</v>
      </c>
      <c r="I48" s="116" t="s">
        <v>70</v>
      </c>
      <c r="J48" s="117">
        <v>17600</v>
      </c>
      <c r="K48" s="118">
        <f t="shared" si="13"/>
        <v>70400</v>
      </c>
      <c r="L48" s="114" t="s">
        <v>71</v>
      </c>
      <c r="M48" s="119" t="str">
        <f t="shared" si="14"/>
        <v>ｵﾌﾟｼｮﾝ</v>
      </c>
      <c r="N48" s="119"/>
      <c r="O48" s="119"/>
      <c r="P48" s="119" t="str">
        <f t="shared" si="15"/>
        <v>・床モクタイルラワン450 12㎜厚</v>
      </c>
      <c r="Q48" s="119"/>
      <c r="R48" s="119"/>
      <c r="S48" s="115">
        <f t="shared" si="3"/>
        <v>4</v>
      </c>
      <c r="T48" s="119" t="str">
        <f t="shared" si="3"/>
        <v>ｹｰｽ</v>
      </c>
      <c r="U48" s="117">
        <f t="shared" si="9"/>
        <v>26400</v>
      </c>
      <c r="V48" s="118">
        <f t="shared" si="16"/>
        <v>105600</v>
      </c>
      <c r="W48" s="119" t="str">
        <f t="shared" si="17"/>
        <v>クリア塗装品</v>
      </c>
    </row>
    <row r="49" spans="2:23" s="122" customFormat="1" x14ac:dyDescent="0.4">
      <c r="B49" s="112"/>
      <c r="C49" s="114"/>
      <c r="D49" s="114"/>
      <c r="E49" s="114" t="s">
        <v>169</v>
      </c>
      <c r="F49" s="114"/>
      <c r="G49" s="120"/>
      <c r="H49" s="115">
        <v>19</v>
      </c>
      <c r="I49" s="116" t="s">
        <v>40</v>
      </c>
      <c r="J49" s="117">
        <f>ROUNDDOWN($G$1*12400,0)</f>
        <v>12400</v>
      </c>
      <c r="K49" s="118">
        <f t="shared" si="13"/>
        <v>235600</v>
      </c>
      <c r="L49" s="114" t="s">
        <v>72</v>
      </c>
      <c r="M49" s="119">
        <f t="shared" si="14"/>
        <v>0</v>
      </c>
      <c r="N49" s="119"/>
      <c r="O49" s="119"/>
      <c r="P49" s="119" t="str">
        <f t="shared" si="15"/>
        <v>・壁モクボードラワン 5.0mm厚</v>
      </c>
      <c r="Q49" s="119"/>
      <c r="R49" s="119"/>
      <c r="S49" s="115">
        <f t="shared" si="3"/>
        <v>19</v>
      </c>
      <c r="T49" s="119" t="str">
        <f t="shared" si="3"/>
        <v>枚</v>
      </c>
      <c r="U49" s="117">
        <f t="shared" si="9"/>
        <v>18600</v>
      </c>
      <c r="V49" s="118">
        <f t="shared" si="16"/>
        <v>353400</v>
      </c>
      <c r="W49" s="119" t="str">
        <f t="shared" si="17"/>
        <v>910×2,420</v>
      </c>
    </row>
    <row r="50" spans="2:23" s="122" customFormat="1" x14ac:dyDescent="0.4">
      <c r="B50" s="112"/>
      <c r="C50" s="114"/>
      <c r="D50" s="114"/>
      <c r="E50" s="114" t="s">
        <v>170</v>
      </c>
      <c r="F50" s="114"/>
      <c r="G50" s="120"/>
      <c r="H50" s="115">
        <f>ROUNDUP(3.9*4.8,0)</f>
        <v>19</v>
      </c>
      <c r="I50" s="116" t="s">
        <v>113</v>
      </c>
      <c r="J50" s="117">
        <f>ROUNDDOWN($G$1*2100,0)</f>
        <v>2100</v>
      </c>
      <c r="K50" s="118">
        <f t="shared" si="13"/>
        <v>39900</v>
      </c>
      <c r="L50" s="114" t="s">
        <v>73</v>
      </c>
      <c r="M50" s="119">
        <f t="shared" si="14"/>
        <v>0</v>
      </c>
      <c r="N50" s="119"/>
      <c r="O50" s="119"/>
      <c r="P50" s="119" t="str">
        <f t="shared" si="15"/>
        <v>・天井ラワンべニア4㎜</v>
      </c>
      <c r="Q50" s="119"/>
      <c r="R50" s="119"/>
      <c r="S50" s="115">
        <f t="shared" si="3"/>
        <v>19</v>
      </c>
      <c r="T50" s="119" t="str">
        <f t="shared" si="3"/>
        <v>㎡</v>
      </c>
      <c r="U50" s="117">
        <f t="shared" si="9"/>
        <v>3150</v>
      </c>
      <c r="V50" s="118">
        <f t="shared" si="16"/>
        <v>59850</v>
      </c>
      <c r="W50" s="119" t="str">
        <f t="shared" si="17"/>
        <v>910×1,820</v>
      </c>
    </row>
    <row r="51" spans="2:23" s="122" customFormat="1" x14ac:dyDescent="0.4">
      <c r="B51" s="112"/>
      <c r="C51" s="114"/>
      <c r="D51" s="114"/>
      <c r="E51" s="114" t="s">
        <v>171</v>
      </c>
      <c r="F51" s="114"/>
      <c r="G51" s="120"/>
      <c r="H51" s="115">
        <f>ROUNDUP(3.9*4.8-1.365*1.82,0)</f>
        <v>17</v>
      </c>
      <c r="I51" s="116" t="s">
        <v>113</v>
      </c>
      <c r="J51" s="117">
        <f>ROUNDDOWN($G$1*2500,0)</f>
        <v>2500</v>
      </c>
      <c r="K51" s="118">
        <f t="shared" ref="K51" si="33">ROUNDDOWN(H51*J51,0)</f>
        <v>42500</v>
      </c>
      <c r="L51" s="114" t="s">
        <v>73</v>
      </c>
      <c r="M51" s="119">
        <f t="shared" ref="M51" si="34">B51</f>
        <v>0</v>
      </c>
      <c r="N51" s="119"/>
      <c r="O51" s="119"/>
      <c r="P51" s="119" t="str">
        <f t="shared" ref="P51" si="35">E51</f>
        <v>・クロス張り</v>
      </c>
      <c r="Q51" s="119"/>
      <c r="R51" s="119"/>
      <c r="S51" s="115">
        <f t="shared" ref="S51" si="36">H51</f>
        <v>17</v>
      </c>
      <c r="T51" s="119" t="str">
        <f t="shared" ref="T51" si="37">I51</f>
        <v>㎡</v>
      </c>
      <c r="U51" s="117">
        <f t="shared" ref="U51" si="38">ROUNDDOWN(J51*$K$1,0)</f>
        <v>3750</v>
      </c>
      <c r="V51" s="118">
        <f t="shared" ref="V51" si="39">ROUNDDOWN(S51*U51,0)</f>
        <v>63750</v>
      </c>
      <c r="W51" s="119" t="str">
        <f t="shared" ref="W51" si="40">L51</f>
        <v>910×1,820</v>
      </c>
    </row>
    <row r="52" spans="2:23" s="122" customFormat="1" x14ac:dyDescent="0.4">
      <c r="B52" s="112"/>
      <c r="C52" s="114" t="s">
        <v>74</v>
      </c>
      <c r="D52" s="114"/>
      <c r="E52" s="114" t="s">
        <v>75</v>
      </c>
      <c r="F52" s="114"/>
      <c r="G52" s="120"/>
      <c r="H52" s="115">
        <f>ROUNDUP(2,2)</f>
        <v>2</v>
      </c>
      <c r="I52" s="116" t="s">
        <v>70</v>
      </c>
      <c r="J52" s="117">
        <v>10246</v>
      </c>
      <c r="K52" s="118">
        <f t="shared" si="13"/>
        <v>20492</v>
      </c>
      <c r="L52" s="121">
        <f>SUM(K48:K52)</f>
        <v>408892</v>
      </c>
      <c r="M52" s="119">
        <f t="shared" si="14"/>
        <v>0</v>
      </c>
      <c r="N52" s="119"/>
      <c r="O52" s="119"/>
      <c r="P52" s="119" t="str">
        <f t="shared" si="15"/>
        <v>・Pタイル モルタライク647-701</v>
      </c>
      <c r="Q52" s="119"/>
      <c r="R52" s="119"/>
      <c r="S52" s="115">
        <f t="shared" si="3"/>
        <v>2</v>
      </c>
      <c r="T52" s="119" t="str">
        <f t="shared" si="3"/>
        <v>ｹｰｽ</v>
      </c>
      <c r="U52" s="117">
        <f>ROUNDDOWN(J52*$K$1,0)</f>
        <v>15369</v>
      </c>
      <c r="V52" s="118">
        <f t="shared" si="16"/>
        <v>30738</v>
      </c>
      <c r="W52" s="119">
        <f t="shared" si="17"/>
        <v>408892</v>
      </c>
    </row>
    <row r="53" spans="2:23" s="122" customFormat="1" x14ac:dyDescent="0.4">
      <c r="B53" s="112" t="s">
        <v>119</v>
      </c>
      <c r="C53" s="112" t="s">
        <v>121</v>
      </c>
      <c r="D53" s="113"/>
      <c r="E53" s="114" t="s">
        <v>162</v>
      </c>
      <c r="F53" s="113"/>
      <c r="G53" s="114"/>
      <c r="H53" s="115">
        <v>1</v>
      </c>
      <c r="I53" s="116" t="s">
        <v>77</v>
      </c>
      <c r="J53" s="117">
        <v>380000</v>
      </c>
      <c r="K53" s="118">
        <f t="shared" si="13"/>
        <v>380000</v>
      </c>
      <c r="L53" s="114"/>
      <c r="M53" s="119" t="str">
        <f t="shared" si="14"/>
        <v>ｵﾌﾟｼｮﾝ</v>
      </c>
      <c r="N53" s="119"/>
      <c r="O53" s="119"/>
      <c r="P53" s="119" t="str">
        <f t="shared" si="15"/>
        <v>・ユニットバス1216</v>
      </c>
      <c r="Q53" s="119"/>
      <c r="R53" s="119"/>
      <c r="S53" s="115">
        <f t="shared" si="3"/>
        <v>1</v>
      </c>
      <c r="T53" s="119" t="str">
        <f t="shared" si="3"/>
        <v>台</v>
      </c>
      <c r="U53" s="117">
        <f t="shared" si="9"/>
        <v>570000</v>
      </c>
      <c r="V53" s="118">
        <f t="shared" si="16"/>
        <v>570000</v>
      </c>
      <c r="W53" s="119">
        <f t="shared" si="17"/>
        <v>0</v>
      </c>
    </row>
    <row r="54" spans="2:23" s="123" customFormat="1" x14ac:dyDescent="0.4">
      <c r="B54" s="112"/>
      <c r="C54" s="114"/>
      <c r="D54" s="114"/>
      <c r="E54" s="114" t="s">
        <v>144</v>
      </c>
      <c r="F54" s="114"/>
      <c r="G54" s="120"/>
      <c r="H54" s="115">
        <v>1</v>
      </c>
      <c r="I54" s="116" t="s">
        <v>77</v>
      </c>
      <c r="J54" s="117">
        <v>150000</v>
      </c>
      <c r="K54" s="118">
        <f t="shared" ref="K54:K55" si="41">ROUNDDOWN(H54*J54,0)</f>
        <v>150000</v>
      </c>
      <c r="L54" s="114"/>
      <c r="M54" s="119">
        <f>B54</f>
        <v>0</v>
      </c>
      <c r="N54" s="119"/>
      <c r="O54" s="119"/>
      <c r="P54" s="119" t="str">
        <f>E54</f>
        <v>・ウォッシュレット</v>
      </c>
      <c r="Q54" s="119"/>
      <c r="R54" s="119"/>
      <c r="S54" s="115">
        <f>H54</f>
        <v>1</v>
      </c>
      <c r="T54" s="119" t="str">
        <f>I54</f>
        <v>台</v>
      </c>
      <c r="U54" s="117">
        <f t="shared" ref="U54:U55" si="42">ROUNDDOWN(J54*$K$1,0)</f>
        <v>225000</v>
      </c>
      <c r="V54" s="118">
        <f>ROUNDDOWN(S54*U54,0)</f>
        <v>225000</v>
      </c>
      <c r="W54" s="119">
        <f>L54</f>
        <v>0</v>
      </c>
    </row>
    <row r="55" spans="2:23" s="123" customFormat="1" x14ac:dyDescent="0.4">
      <c r="B55" s="112"/>
      <c r="C55" s="114"/>
      <c r="D55" s="114"/>
      <c r="E55" s="114" t="s">
        <v>90</v>
      </c>
      <c r="F55" s="114"/>
      <c r="G55" s="120"/>
      <c r="H55" s="115">
        <v>1</v>
      </c>
      <c r="I55" s="116" t="s">
        <v>77</v>
      </c>
      <c r="J55" s="117">
        <v>45000</v>
      </c>
      <c r="K55" s="118">
        <f t="shared" si="41"/>
        <v>45000</v>
      </c>
      <c r="L55" s="114"/>
      <c r="M55" s="119">
        <f>B55</f>
        <v>0</v>
      </c>
      <c r="N55" s="119"/>
      <c r="O55" s="119"/>
      <c r="P55" s="119" t="str">
        <f>E55</f>
        <v>・洗面器KB-PR012-03-G141</v>
      </c>
      <c r="Q55" s="119"/>
      <c r="R55" s="119"/>
      <c r="S55" s="115">
        <f>H55</f>
        <v>1</v>
      </c>
      <c r="T55" s="119" t="str">
        <f>I55</f>
        <v>台</v>
      </c>
      <c r="U55" s="117">
        <f t="shared" si="42"/>
        <v>67500</v>
      </c>
      <c r="V55" s="118">
        <f>ROUNDDOWN(S55*U55,0)</f>
        <v>67500</v>
      </c>
      <c r="W55" s="119">
        <f>L55</f>
        <v>0</v>
      </c>
    </row>
    <row r="56" spans="2:23" s="123" customFormat="1" x14ac:dyDescent="0.4">
      <c r="B56" s="112"/>
      <c r="C56" s="114"/>
      <c r="D56" s="114"/>
      <c r="E56" s="114" t="s">
        <v>78</v>
      </c>
      <c r="F56" s="114"/>
      <c r="G56" s="120"/>
      <c r="H56" s="115">
        <v>1</v>
      </c>
      <c r="I56" s="116" t="s">
        <v>77</v>
      </c>
      <c r="J56" s="117">
        <f>ROUNDDOWN($G$1*250000,0)</f>
        <v>250000</v>
      </c>
      <c r="K56" s="118">
        <f t="shared" si="13"/>
        <v>250000</v>
      </c>
      <c r="L56" s="114"/>
      <c r="M56" s="119">
        <f>B56</f>
        <v>0</v>
      </c>
      <c r="N56" s="119"/>
      <c r="O56" s="119"/>
      <c r="P56" s="119" t="str">
        <f>E56</f>
        <v>・エアコン</v>
      </c>
      <c r="Q56" s="119"/>
      <c r="R56" s="119"/>
      <c r="S56" s="115">
        <f>H56</f>
        <v>1</v>
      </c>
      <c r="T56" s="119" t="str">
        <f>I56</f>
        <v>台</v>
      </c>
      <c r="U56" s="117">
        <f t="shared" si="9"/>
        <v>375000</v>
      </c>
      <c r="V56" s="118">
        <f>ROUNDDOWN(S56*U56,0)</f>
        <v>375000</v>
      </c>
      <c r="W56" s="119">
        <f>L56</f>
        <v>0</v>
      </c>
    </row>
    <row r="57" spans="2:23" s="123" customFormat="1" x14ac:dyDescent="0.4">
      <c r="B57" s="112"/>
      <c r="C57" s="114"/>
      <c r="D57" s="114"/>
      <c r="E57" s="114" t="s">
        <v>79</v>
      </c>
      <c r="F57" s="114"/>
      <c r="G57" s="120"/>
      <c r="H57" s="115">
        <v>1</v>
      </c>
      <c r="I57" s="116" t="s">
        <v>77</v>
      </c>
      <c r="J57" s="117">
        <f>ROUNDDOWN($G$1*180000,0)</f>
        <v>180000</v>
      </c>
      <c r="K57" s="118">
        <f t="shared" si="13"/>
        <v>180000</v>
      </c>
      <c r="L57" s="114"/>
      <c r="M57" s="119">
        <f>B57</f>
        <v>0</v>
      </c>
      <c r="N57" s="119"/>
      <c r="O57" s="119"/>
      <c r="P57" s="119" t="str">
        <f>E57</f>
        <v>・ガス給湯器16号</v>
      </c>
      <c r="Q57" s="119"/>
      <c r="R57" s="119"/>
      <c r="S57" s="115">
        <f>H57</f>
        <v>1</v>
      </c>
      <c r="T57" s="119" t="str">
        <f>I57</f>
        <v>台</v>
      </c>
      <c r="U57" s="117">
        <f t="shared" si="9"/>
        <v>270000</v>
      </c>
      <c r="V57" s="118">
        <f>ROUNDDOWN(S57*U57,0)</f>
        <v>270000</v>
      </c>
      <c r="W57" s="119">
        <f>L57</f>
        <v>0</v>
      </c>
    </row>
    <row r="58" spans="2:23" s="123" customFormat="1" x14ac:dyDescent="0.4">
      <c r="B58" s="112"/>
      <c r="C58" s="114"/>
      <c r="D58" s="113"/>
      <c r="E58" s="114" t="s">
        <v>86</v>
      </c>
      <c r="F58" s="113"/>
      <c r="G58" s="114"/>
      <c r="H58" s="115">
        <v>1</v>
      </c>
      <c r="I58" s="116" t="s">
        <v>77</v>
      </c>
      <c r="J58" s="117">
        <f>ROUNDDOWN($G$1*35000,0)</f>
        <v>35000</v>
      </c>
      <c r="K58" s="118">
        <f t="shared" ref="K58:K59" si="43">ROUNDDOWN(H58*J58,0)</f>
        <v>35000</v>
      </c>
      <c r="L58" s="114"/>
      <c r="M58" s="119">
        <f t="shared" ref="M58:M59" si="44">B58</f>
        <v>0</v>
      </c>
      <c r="N58" s="119"/>
      <c r="O58" s="119"/>
      <c r="P58" s="119" t="str">
        <f t="shared" ref="P58:P59" si="45">E58</f>
        <v>・スマートキー</v>
      </c>
      <c r="Q58" s="119"/>
      <c r="R58" s="119"/>
      <c r="S58" s="115">
        <f t="shared" ref="S58:T59" si="46">H58</f>
        <v>1</v>
      </c>
      <c r="T58" s="119" t="str">
        <f t="shared" si="46"/>
        <v>台</v>
      </c>
      <c r="U58" s="117">
        <f t="shared" si="9"/>
        <v>52500</v>
      </c>
      <c r="V58" s="118">
        <f t="shared" ref="V58:V59" si="47">ROUNDDOWN(S58*U58,0)</f>
        <v>52500</v>
      </c>
      <c r="W58" s="119">
        <f t="shared" ref="W58:W59" si="48">L58</f>
        <v>0</v>
      </c>
    </row>
    <row r="59" spans="2:23" s="123" customFormat="1" x14ac:dyDescent="0.4">
      <c r="B59" s="112"/>
      <c r="C59" s="114"/>
      <c r="D59" s="113"/>
      <c r="E59" s="114" t="s">
        <v>87</v>
      </c>
      <c r="F59" s="113"/>
      <c r="G59" s="114"/>
      <c r="H59" s="115">
        <f>ROUNDUP(1,2)</f>
        <v>1</v>
      </c>
      <c r="I59" s="116" t="s">
        <v>88</v>
      </c>
      <c r="J59" s="117">
        <f t="shared" ref="J59:J76" si="49">ROUNDDOWN($G$1*0,0)</f>
        <v>0</v>
      </c>
      <c r="K59" s="118">
        <f t="shared" si="43"/>
        <v>0</v>
      </c>
      <c r="L59" s="114"/>
      <c r="M59" s="119">
        <f t="shared" si="44"/>
        <v>0</v>
      </c>
      <c r="N59" s="119"/>
      <c r="O59" s="119"/>
      <c r="P59" s="119" t="str">
        <f t="shared" si="45"/>
        <v>・ハンガーパイプ（取付金物共）</v>
      </c>
      <c r="Q59" s="119"/>
      <c r="R59" s="119"/>
      <c r="S59" s="115">
        <f t="shared" si="46"/>
        <v>1</v>
      </c>
      <c r="T59" s="119" t="str">
        <f t="shared" si="46"/>
        <v>ｾｯﾄ</v>
      </c>
      <c r="U59" s="117">
        <f t="shared" si="9"/>
        <v>0</v>
      </c>
      <c r="V59" s="118">
        <f t="shared" si="47"/>
        <v>0</v>
      </c>
      <c r="W59" s="119">
        <f t="shared" si="48"/>
        <v>0</v>
      </c>
    </row>
    <row r="60" spans="2:23" s="123" customFormat="1" x14ac:dyDescent="0.4">
      <c r="B60" s="112"/>
      <c r="C60" s="114"/>
      <c r="D60" s="114"/>
      <c r="E60" s="114" t="s">
        <v>167</v>
      </c>
      <c r="F60" s="114"/>
      <c r="G60" s="120"/>
      <c r="H60" s="115">
        <v>1</v>
      </c>
      <c r="I60" s="116" t="s">
        <v>88</v>
      </c>
      <c r="J60" s="117">
        <f>ROUNDDOWN($G$1*75000,0)</f>
        <v>75000</v>
      </c>
      <c r="K60" s="118">
        <f>ROUNDDOWN(H60*J60,0)</f>
        <v>75000</v>
      </c>
      <c r="L60" s="114"/>
      <c r="M60" s="119">
        <f>B60</f>
        <v>0</v>
      </c>
      <c r="N60" s="119"/>
      <c r="O60" s="119"/>
      <c r="P60" s="119" t="str">
        <f>E60</f>
        <v>・家具下足箱</v>
      </c>
      <c r="Q60" s="119"/>
      <c r="R60" s="119"/>
      <c r="S60" s="115">
        <f>H60</f>
        <v>1</v>
      </c>
      <c r="T60" s="119" t="str">
        <f>I60</f>
        <v>ｾｯﾄ</v>
      </c>
      <c r="U60" s="117">
        <f t="shared" si="9"/>
        <v>112500</v>
      </c>
      <c r="V60" s="118">
        <f>ROUNDDOWN(S60*U60,0)</f>
        <v>112500</v>
      </c>
      <c r="W60" s="119">
        <f>L60</f>
        <v>0</v>
      </c>
    </row>
    <row r="61" spans="2:23" s="127" customFormat="1" x14ac:dyDescent="0.4">
      <c r="B61" s="124"/>
      <c r="C61" s="116"/>
      <c r="D61" s="125"/>
      <c r="E61" s="116" t="s">
        <v>90</v>
      </c>
      <c r="F61" s="125"/>
      <c r="G61" s="116"/>
      <c r="H61" s="115">
        <v>1</v>
      </c>
      <c r="I61" s="116" t="s">
        <v>77</v>
      </c>
      <c r="J61" s="117">
        <v>46150</v>
      </c>
      <c r="K61" s="117">
        <f t="shared" ref="K61" si="50">ROUNDDOWN(H61*J61,0)</f>
        <v>46150</v>
      </c>
      <c r="L61" s="116" t="s">
        <v>91</v>
      </c>
      <c r="M61" s="126">
        <f t="shared" ref="M61" si="51">B61</f>
        <v>0</v>
      </c>
      <c r="N61" s="126"/>
      <c r="O61" s="126"/>
      <c r="P61" s="126" t="str">
        <f t="shared" ref="P61" si="52">E61</f>
        <v>・洗面器KB-PR012-03-G141</v>
      </c>
      <c r="Q61" s="126"/>
      <c r="R61" s="126"/>
      <c r="S61" s="115">
        <f t="shared" ref="S61:T61" si="53">H61</f>
        <v>1</v>
      </c>
      <c r="T61" s="126" t="str">
        <f t="shared" si="53"/>
        <v>台</v>
      </c>
      <c r="U61" s="117">
        <f t="shared" si="9"/>
        <v>69225</v>
      </c>
      <c r="V61" s="117">
        <f t="shared" ref="V61" si="54">ROUNDDOWN(S61*U61,0)</f>
        <v>69225</v>
      </c>
      <c r="W61" s="126" t="str">
        <f t="shared" ref="W61" si="55">L61</f>
        <v>toolbox</v>
      </c>
    </row>
    <row r="62" spans="2:23" s="122" customFormat="1" x14ac:dyDescent="0.4">
      <c r="B62" s="112"/>
      <c r="C62" s="114"/>
      <c r="D62" s="114"/>
      <c r="E62" s="114" t="s">
        <v>92</v>
      </c>
      <c r="F62" s="114"/>
      <c r="G62" s="120"/>
      <c r="H62" s="115">
        <v>1</v>
      </c>
      <c r="I62" s="116" t="s">
        <v>77</v>
      </c>
      <c r="J62" s="117">
        <v>60000</v>
      </c>
      <c r="K62" s="118">
        <f>ROUNDDOWN(H62*J62,0)</f>
        <v>60000</v>
      </c>
      <c r="L62" s="114" t="s">
        <v>91</v>
      </c>
      <c r="M62" s="119">
        <f>B62</f>
        <v>0</v>
      </c>
      <c r="N62" s="119"/>
      <c r="O62" s="119"/>
      <c r="P62" s="119" t="str">
        <f>E62</f>
        <v>・混合水栓KB-TP006-01-G141</v>
      </c>
      <c r="Q62" s="119"/>
      <c r="R62" s="119"/>
      <c r="S62" s="115">
        <f>H62</f>
        <v>1</v>
      </c>
      <c r="T62" s="119" t="str">
        <f>I62</f>
        <v>台</v>
      </c>
      <c r="U62" s="117">
        <f t="shared" si="9"/>
        <v>90000</v>
      </c>
      <c r="V62" s="118">
        <f>ROUNDDOWN(S62*U62,0)</f>
        <v>90000</v>
      </c>
      <c r="W62" s="119" t="str">
        <f>L62</f>
        <v>toolbox</v>
      </c>
    </row>
    <row r="63" spans="2:23" x14ac:dyDescent="0.4">
      <c r="B63" s="112"/>
      <c r="C63" s="114"/>
      <c r="D63" s="114"/>
      <c r="E63" s="114" t="s">
        <v>93</v>
      </c>
      <c r="F63" s="114"/>
      <c r="G63" s="120"/>
      <c r="H63" s="115">
        <v>1</v>
      </c>
      <c r="I63" s="116" t="s">
        <v>77</v>
      </c>
      <c r="J63" s="117">
        <f>ROUNDDOWN($G$1*80000,0)</f>
        <v>80000</v>
      </c>
      <c r="K63" s="118">
        <f>ROUNDDOWN(H63*J63,0)</f>
        <v>80000</v>
      </c>
      <c r="L63" s="121">
        <f>SUM(K53:K63)</f>
        <v>1301150</v>
      </c>
      <c r="M63" s="119">
        <f>B63</f>
        <v>0</v>
      </c>
      <c r="N63" s="119"/>
      <c r="O63" s="119"/>
      <c r="P63" s="119" t="str">
        <f>E63</f>
        <v>・折り畳み式ベット1200×2000</v>
      </c>
      <c r="Q63" s="119"/>
      <c r="R63" s="119"/>
      <c r="S63" s="115">
        <f>H63</f>
        <v>1</v>
      </c>
      <c r="T63" s="119" t="str">
        <f>I63</f>
        <v>台</v>
      </c>
      <c r="U63" s="117">
        <f t="shared" si="9"/>
        <v>120000</v>
      </c>
      <c r="V63" s="118">
        <f>ROUNDDOWN(S63*U63,0)</f>
        <v>120000</v>
      </c>
      <c r="W63" s="119">
        <f>L63</f>
        <v>1301150</v>
      </c>
    </row>
    <row r="64" spans="2:23" x14ac:dyDescent="0.4">
      <c r="B64" s="112" t="s">
        <v>119</v>
      </c>
      <c r="C64" s="112" t="s">
        <v>123</v>
      </c>
      <c r="D64" s="114"/>
      <c r="E64" s="114" t="s">
        <v>95</v>
      </c>
      <c r="F64" s="114"/>
      <c r="G64" s="120"/>
      <c r="H64" s="115">
        <f>ROUNDUP(5*2.5,2)</f>
        <v>12.5</v>
      </c>
      <c r="I64" s="116" t="s">
        <v>94</v>
      </c>
      <c r="J64" s="117">
        <f>ROUNDDOWN(30000,0)</f>
        <v>30000</v>
      </c>
      <c r="K64" s="118">
        <f>ROUNDDOWN(H64*J64,0)</f>
        <v>375000</v>
      </c>
      <c r="L64" s="121">
        <f>SUM(K64:K64)</f>
        <v>375000</v>
      </c>
      <c r="M64" s="119" t="str">
        <f>B64</f>
        <v>ｵﾌﾟｼｮﾝ</v>
      </c>
      <c r="N64" s="119"/>
      <c r="O64" s="119"/>
      <c r="P64" s="119" t="str">
        <f>E64</f>
        <v>・室内造作（建具取付まで）</v>
      </c>
      <c r="Q64" s="119"/>
      <c r="R64" s="119"/>
      <c r="S64" s="115">
        <f>H64</f>
        <v>12.5</v>
      </c>
      <c r="T64" s="119" t="str">
        <f>I64</f>
        <v>人</v>
      </c>
      <c r="U64" s="117">
        <f>ROUNDDOWN(25000,0)</f>
        <v>25000</v>
      </c>
      <c r="V64" s="118">
        <f>ROUNDDOWN(S64*U64,0)</f>
        <v>312500</v>
      </c>
      <c r="W64" s="119">
        <f>L64</f>
        <v>375000</v>
      </c>
    </row>
    <row r="65" spans="2:23" x14ac:dyDescent="0.4">
      <c r="B65" s="60"/>
      <c r="C65" s="60" t="s">
        <v>98</v>
      </c>
      <c r="D65" s="62"/>
      <c r="E65" s="62"/>
      <c r="F65" s="62"/>
      <c r="G65" s="61"/>
      <c r="H65" s="63">
        <v>1</v>
      </c>
      <c r="I65" s="64" t="s">
        <v>85</v>
      </c>
      <c r="J65" s="65">
        <f t="shared" si="49"/>
        <v>0</v>
      </c>
      <c r="K65" s="66">
        <f t="shared" ref="K65" si="56">ROUNDDOWN(H65*J65,0)</f>
        <v>0</v>
      </c>
      <c r="L65" s="61"/>
      <c r="M65" s="67">
        <f t="shared" ref="M65" si="57">B65</f>
        <v>0</v>
      </c>
      <c r="N65" s="67"/>
      <c r="O65" s="67"/>
      <c r="P65" s="62"/>
      <c r="Q65" s="62"/>
      <c r="R65" s="61"/>
      <c r="S65" s="63">
        <f t="shared" ref="S65" si="58">H65</f>
        <v>1</v>
      </c>
      <c r="T65" s="67" t="str">
        <f t="shared" ref="T65" si="59">I65</f>
        <v>式</v>
      </c>
      <c r="U65" s="65">
        <f t="shared" ref="U65" si="60">ROUNDDOWN(J65*$K$1,0)</f>
        <v>0</v>
      </c>
      <c r="V65" s="66">
        <f t="shared" ref="V65" si="61">ROUNDDOWN(S65*U65,0)</f>
        <v>0</v>
      </c>
      <c r="W65" s="67">
        <f t="shared" ref="W65" si="62">L65</f>
        <v>0</v>
      </c>
    </row>
    <row r="66" spans="2:23" x14ac:dyDescent="0.4">
      <c r="B66" s="141" t="s">
        <v>119</v>
      </c>
      <c r="C66" s="141" t="s">
        <v>124</v>
      </c>
      <c r="D66" s="143"/>
      <c r="E66" s="143"/>
      <c r="F66" s="143"/>
      <c r="G66" s="142"/>
      <c r="H66" s="144">
        <v>1</v>
      </c>
      <c r="I66" s="145" t="s">
        <v>85</v>
      </c>
      <c r="J66" s="146"/>
      <c r="K66" s="147">
        <f>ROUNDDOWN(SUM(K48:K65)*$J$1,0)</f>
        <v>312756</v>
      </c>
      <c r="L66" s="142"/>
      <c r="M66" s="141" t="str">
        <f t="shared" ref="M66" si="63">B66</f>
        <v>ｵﾌﾟｼｮﾝ</v>
      </c>
      <c r="N66" s="148"/>
      <c r="O66" s="148"/>
      <c r="P66" s="143"/>
      <c r="Q66" s="143"/>
      <c r="R66" s="142"/>
      <c r="S66" s="144">
        <f t="shared" ref="S66" si="64">H66</f>
        <v>1</v>
      </c>
      <c r="T66" s="141" t="str">
        <f t="shared" ref="T66" si="65">I66</f>
        <v>式</v>
      </c>
      <c r="U66" s="146"/>
      <c r="V66" s="147">
        <f>ROUNDDOWN(SUM(V48:V65)*$J$1,0)</f>
        <v>431634</v>
      </c>
      <c r="W66" s="148">
        <f t="shared" ref="W66" si="66">L66</f>
        <v>0</v>
      </c>
    </row>
    <row r="67" spans="2:23" s="122" customFormat="1" x14ac:dyDescent="0.4">
      <c r="B67" s="128" t="s">
        <v>136</v>
      </c>
      <c r="C67" s="129"/>
      <c r="D67" s="129"/>
      <c r="E67" s="129"/>
      <c r="F67" s="129"/>
      <c r="G67" s="130"/>
      <c r="H67" s="131"/>
      <c r="I67" s="132"/>
      <c r="J67" s="133"/>
      <c r="K67" s="134">
        <f>SUM(K48:K66)</f>
        <v>2397798</v>
      </c>
      <c r="L67" s="129" t="s">
        <v>71</v>
      </c>
      <c r="M67" s="135" t="str">
        <f t="shared" ref="M67:M68" si="67">B67</f>
        <v>【オプション価格計】</v>
      </c>
      <c r="N67" s="135"/>
      <c r="O67" s="135"/>
      <c r="P67" s="135">
        <f t="shared" ref="P67" si="68">E67</f>
        <v>0</v>
      </c>
      <c r="Q67" s="135"/>
      <c r="R67" s="135"/>
      <c r="S67" s="131">
        <f t="shared" ref="S67:S68" si="69">H67</f>
        <v>0</v>
      </c>
      <c r="T67" s="135">
        <f t="shared" ref="T67:T68" si="70">I67</f>
        <v>0</v>
      </c>
      <c r="U67" s="133">
        <f t="shared" ref="U67:U69" si="71">ROUNDDOWN(J67*$K$1,0)</f>
        <v>0</v>
      </c>
      <c r="V67" s="134">
        <f>SUM(V48:V66)</f>
        <v>3309197</v>
      </c>
      <c r="W67" s="135" t="str">
        <f t="shared" ref="W67:W68" si="72">L67</f>
        <v>クリア塗装品</v>
      </c>
    </row>
    <row r="68" spans="2:23" x14ac:dyDescent="0.4">
      <c r="B68" s="60" t="s">
        <v>125</v>
      </c>
      <c r="C68" s="60" t="s">
        <v>126</v>
      </c>
      <c r="D68" s="62"/>
      <c r="E68" s="62"/>
      <c r="F68" s="62"/>
      <c r="G68" s="61"/>
      <c r="H68" s="63">
        <v>1</v>
      </c>
      <c r="I68" s="64" t="s">
        <v>85</v>
      </c>
      <c r="J68" s="65">
        <v>0</v>
      </c>
      <c r="K68" s="66">
        <f t="shared" ref="K68:K69" si="73">ROUNDDOWN(H68*J68,0)</f>
        <v>0</v>
      </c>
      <c r="L68" s="61"/>
      <c r="M68" s="60" t="str">
        <f t="shared" si="67"/>
        <v>別途</v>
      </c>
      <c r="N68" s="67"/>
      <c r="O68" s="67"/>
      <c r="P68" s="62"/>
      <c r="Q68" s="62"/>
      <c r="R68" s="61"/>
      <c r="S68" s="63">
        <f t="shared" si="69"/>
        <v>1</v>
      </c>
      <c r="T68" s="60" t="str">
        <f t="shared" si="70"/>
        <v>式</v>
      </c>
      <c r="U68" s="65">
        <f t="shared" si="71"/>
        <v>0</v>
      </c>
      <c r="V68" s="66">
        <f t="shared" ref="V67:V69" si="74">ROUNDDOWN(S68*U68,0)</f>
        <v>0</v>
      </c>
      <c r="W68" s="67">
        <f t="shared" si="72"/>
        <v>0</v>
      </c>
    </row>
    <row r="69" spans="2:23" x14ac:dyDescent="0.4">
      <c r="B69" s="60"/>
      <c r="C69" s="60" t="s">
        <v>129</v>
      </c>
      <c r="D69" s="62"/>
      <c r="E69" s="62"/>
      <c r="F69" s="62"/>
      <c r="G69" s="61"/>
      <c r="H69" s="63">
        <v>1</v>
      </c>
      <c r="I69" s="64" t="s">
        <v>85</v>
      </c>
      <c r="J69" s="65">
        <v>0</v>
      </c>
      <c r="K69" s="66">
        <f t="shared" si="73"/>
        <v>0</v>
      </c>
      <c r="L69" s="61"/>
      <c r="M69" s="60">
        <f t="shared" ref="M69" si="75">B69</f>
        <v>0</v>
      </c>
      <c r="N69" s="67"/>
      <c r="O69" s="67"/>
      <c r="P69" s="62"/>
      <c r="Q69" s="62"/>
      <c r="R69" s="61"/>
      <c r="S69" s="63">
        <f t="shared" ref="S69" si="76">H69</f>
        <v>1</v>
      </c>
      <c r="T69" s="60" t="str">
        <f t="shared" ref="T69" si="77">I69</f>
        <v>式</v>
      </c>
      <c r="U69" s="65">
        <f t="shared" si="71"/>
        <v>0</v>
      </c>
      <c r="V69" s="66">
        <f t="shared" si="74"/>
        <v>0</v>
      </c>
      <c r="W69" s="67">
        <f t="shared" ref="W69" si="78">L69</f>
        <v>0</v>
      </c>
    </row>
    <row r="70" spans="2:23" x14ac:dyDescent="0.4">
      <c r="B70" s="60"/>
      <c r="C70" s="60" t="s">
        <v>127</v>
      </c>
      <c r="D70" s="62"/>
      <c r="E70" s="62"/>
      <c r="F70" s="62"/>
      <c r="G70" s="61"/>
      <c r="H70" s="63">
        <v>1</v>
      </c>
      <c r="I70" s="64" t="s">
        <v>85</v>
      </c>
      <c r="J70" s="65">
        <f t="shared" si="49"/>
        <v>0</v>
      </c>
      <c r="K70" s="66">
        <f>ROUNDDOWN(H70*J70,0)</f>
        <v>0</v>
      </c>
      <c r="L70" s="61"/>
      <c r="M70" s="67">
        <f>B70</f>
        <v>0</v>
      </c>
      <c r="N70" s="67"/>
      <c r="O70" s="67"/>
      <c r="P70" s="62"/>
      <c r="Q70" s="62"/>
      <c r="R70" s="61"/>
      <c r="S70" s="63">
        <f>H70</f>
        <v>1</v>
      </c>
      <c r="T70" s="67" t="str">
        <f>I70</f>
        <v>式</v>
      </c>
      <c r="U70" s="65">
        <f>ROUNDDOWN(J70*$K$1,0)</f>
        <v>0</v>
      </c>
      <c r="V70" s="66">
        <f>ROUNDDOWN(S70*U70,0)</f>
        <v>0</v>
      </c>
      <c r="W70" s="67">
        <f>L70</f>
        <v>0</v>
      </c>
    </row>
    <row r="71" spans="2:23" x14ac:dyDescent="0.4">
      <c r="B71" s="60"/>
      <c r="C71" s="60" t="s">
        <v>130</v>
      </c>
      <c r="D71" s="62"/>
      <c r="E71" s="62"/>
      <c r="F71" s="62"/>
      <c r="G71" s="61"/>
      <c r="H71" s="63">
        <v>1</v>
      </c>
      <c r="I71" s="64" t="s">
        <v>85</v>
      </c>
      <c r="J71" s="65">
        <f t="shared" si="49"/>
        <v>0</v>
      </c>
      <c r="K71" s="66">
        <f>ROUNDDOWN(H71*J71,0)</f>
        <v>0</v>
      </c>
      <c r="L71" s="61"/>
      <c r="M71" s="67">
        <f>B71</f>
        <v>0</v>
      </c>
      <c r="N71" s="67"/>
      <c r="O71" s="67"/>
      <c r="P71" s="62"/>
      <c r="Q71" s="62"/>
      <c r="R71" s="61"/>
      <c r="S71" s="63">
        <f>H71</f>
        <v>1</v>
      </c>
      <c r="T71" s="67" t="str">
        <f>I71</f>
        <v>式</v>
      </c>
      <c r="U71" s="65">
        <f>ROUNDDOWN(J71*$K$1,0)</f>
        <v>0</v>
      </c>
      <c r="V71" s="66">
        <f>ROUNDDOWN(S71*U71,0)</f>
        <v>0</v>
      </c>
      <c r="W71" s="67">
        <f>L71</f>
        <v>0</v>
      </c>
    </row>
    <row r="72" spans="2:23" x14ac:dyDescent="0.4">
      <c r="B72" s="60"/>
      <c r="C72" s="60" t="s">
        <v>131</v>
      </c>
      <c r="D72" s="62"/>
      <c r="E72" s="62" t="s">
        <v>96</v>
      </c>
      <c r="F72" s="62"/>
      <c r="G72" s="61"/>
      <c r="H72" s="63">
        <f>ROUNDUP(1,2)</f>
        <v>1</v>
      </c>
      <c r="I72" s="64" t="s">
        <v>85</v>
      </c>
      <c r="J72" s="65">
        <f>ROUNDDOWN($G$1*0,0)</f>
        <v>0</v>
      </c>
      <c r="K72" s="66">
        <f t="shared" si="0"/>
        <v>0</v>
      </c>
      <c r="L72" s="61" t="s">
        <v>122</v>
      </c>
      <c r="M72" s="67">
        <f t="shared" si="1"/>
        <v>0</v>
      </c>
      <c r="N72" s="67"/>
      <c r="O72" s="67"/>
      <c r="P72" s="67" t="str">
        <f t="shared" si="2"/>
        <v>・照明器具含む</v>
      </c>
      <c r="Q72" s="67"/>
      <c r="R72" s="67"/>
      <c r="S72" s="63">
        <f t="shared" si="3"/>
        <v>1</v>
      </c>
      <c r="T72" s="67" t="str">
        <f t="shared" si="3"/>
        <v>式</v>
      </c>
      <c r="U72" s="65">
        <f t="shared" si="4"/>
        <v>0</v>
      </c>
      <c r="V72" s="66">
        <f t="shared" si="5"/>
        <v>0</v>
      </c>
      <c r="W72" s="67" t="str">
        <f t="shared" si="6"/>
        <v>別途工事</v>
      </c>
    </row>
    <row r="73" spans="2:23" x14ac:dyDescent="0.4">
      <c r="B73" s="60"/>
      <c r="C73" s="60" t="s">
        <v>128</v>
      </c>
      <c r="D73" s="62"/>
      <c r="E73" s="62" t="s">
        <v>97</v>
      </c>
      <c r="F73" s="62"/>
      <c r="G73" s="61"/>
      <c r="H73" s="63">
        <f>ROUNDUP(1,2)</f>
        <v>1</v>
      </c>
      <c r="I73" s="64" t="s">
        <v>85</v>
      </c>
      <c r="J73" s="65">
        <f t="shared" si="49"/>
        <v>0</v>
      </c>
      <c r="K73" s="66">
        <f t="shared" si="0"/>
        <v>0</v>
      </c>
      <c r="L73" s="61"/>
      <c r="M73" s="67">
        <f t="shared" si="1"/>
        <v>0</v>
      </c>
      <c r="N73" s="67"/>
      <c r="O73" s="67"/>
      <c r="P73" s="67" t="str">
        <f t="shared" si="2"/>
        <v>・敷地状況によって別途見積</v>
      </c>
      <c r="Q73" s="67"/>
      <c r="R73" s="67"/>
      <c r="S73" s="63">
        <f t="shared" si="3"/>
        <v>1</v>
      </c>
      <c r="T73" s="67" t="str">
        <f t="shared" si="3"/>
        <v>式</v>
      </c>
      <c r="U73" s="65">
        <f t="shared" si="4"/>
        <v>0</v>
      </c>
      <c r="V73" s="66">
        <f t="shared" si="5"/>
        <v>0</v>
      </c>
      <c r="W73" s="67">
        <f t="shared" si="6"/>
        <v>0</v>
      </c>
    </row>
    <row r="74" spans="2:23" x14ac:dyDescent="0.4">
      <c r="B74" s="60"/>
      <c r="C74" s="60" t="s">
        <v>132</v>
      </c>
      <c r="D74" s="62"/>
      <c r="E74" s="62"/>
      <c r="F74" s="62"/>
      <c r="G74" s="61"/>
      <c r="H74" s="63">
        <f>ROUNDUP(1,2)</f>
        <v>1</v>
      </c>
      <c r="I74" s="64" t="s">
        <v>85</v>
      </c>
      <c r="J74" s="65">
        <f t="shared" si="49"/>
        <v>0</v>
      </c>
      <c r="K74" s="66">
        <f t="shared" ref="K74" si="79">ROUNDDOWN(H74*J74,0)</f>
        <v>0</v>
      </c>
      <c r="L74" s="61"/>
      <c r="M74" s="67">
        <f t="shared" ref="M74" si="80">B74</f>
        <v>0</v>
      </c>
      <c r="N74" s="67"/>
      <c r="O74" s="67"/>
      <c r="P74" s="67">
        <f t="shared" ref="P74" si="81">E74</f>
        <v>0</v>
      </c>
      <c r="Q74" s="67"/>
      <c r="R74" s="67"/>
      <c r="S74" s="63">
        <f t="shared" ref="S74" si="82">H74</f>
        <v>1</v>
      </c>
      <c r="T74" s="67" t="str">
        <f t="shared" ref="T74" si="83">I74</f>
        <v>式</v>
      </c>
      <c r="U74" s="65">
        <f t="shared" ref="U74:U75" si="84">ROUNDDOWN(J74*$K$1,0)</f>
        <v>0</v>
      </c>
      <c r="V74" s="66">
        <f t="shared" ref="V74" si="85">ROUNDDOWN(S74*U74,0)</f>
        <v>0</v>
      </c>
      <c r="W74" s="67">
        <f t="shared" ref="W74" si="86">L74</f>
        <v>0</v>
      </c>
    </row>
    <row r="75" spans="2:23" x14ac:dyDescent="0.4">
      <c r="B75" s="60"/>
      <c r="C75" s="60" t="s">
        <v>133</v>
      </c>
      <c r="D75" s="62"/>
      <c r="E75" s="62"/>
      <c r="F75" s="62"/>
      <c r="G75" s="61"/>
      <c r="H75" s="63">
        <f>ROUNDUP(1,2)</f>
        <v>1</v>
      </c>
      <c r="I75" s="64" t="s">
        <v>85</v>
      </c>
      <c r="J75" s="65">
        <f t="shared" si="49"/>
        <v>0</v>
      </c>
      <c r="K75" s="66">
        <f>H75*J75</f>
        <v>0</v>
      </c>
      <c r="L75" s="61" t="s">
        <v>99</v>
      </c>
      <c r="M75" s="60">
        <f t="shared" si="1"/>
        <v>0</v>
      </c>
      <c r="N75" s="67"/>
      <c r="O75" s="67"/>
      <c r="P75" s="62"/>
      <c r="Q75" s="62"/>
      <c r="R75" s="61"/>
      <c r="S75" s="63">
        <f t="shared" si="3"/>
        <v>1</v>
      </c>
      <c r="T75" s="60" t="str">
        <f t="shared" si="3"/>
        <v>式</v>
      </c>
      <c r="U75" s="65">
        <f t="shared" si="84"/>
        <v>0</v>
      </c>
      <c r="V75" s="66">
        <f>S75*U75</f>
        <v>0</v>
      </c>
      <c r="W75" s="67" t="str">
        <f t="shared" si="6"/>
        <v>トン袋のみ</v>
      </c>
    </row>
    <row r="76" spans="2:23" x14ac:dyDescent="0.4">
      <c r="B76" s="60"/>
      <c r="C76" s="60" t="s">
        <v>134</v>
      </c>
      <c r="D76" s="62"/>
      <c r="E76" s="62"/>
      <c r="F76" s="62"/>
      <c r="G76" s="61"/>
      <c r="H76" s="63">
        <v>1</v>
      </c>
      <c r="I76" s="64" t="s">
        <v>85</v>
      </c>
      <c r="J76" s="65">
        <f t="shared" si="49"/>
        <v>0</v>
      </c>
      <c r="K76" s="66">
        <f>ROUNDDOWN(SUM(K68:K75)*$J$1,0)</f>
        <v>0</v>
      </c>
      <c r="L76" s="61"/>
      <c r="M76" s="60">
        <f t="shared" si="1"/>
        <v>0</v>
      </c>
      <c r="N76" s="67"/>
      <c r="O76" s="67"/>
      <c r="P76" s="62"/>
      <c r="Q76" s="62"/>
      <c r="R76" s="61"/>
      <c r="S76" s="63">
        <f t="shared" si="3"/>
        <v>1</v>
      </c>
      <c r="T76" s="60" t="str">
        <f t="shared" si="3"/>
        <v>式</v>
      </c>
      <c r="U76" s="65"/>
      <c r="V76" s="66">
        <f>S76*U76</f>
        <v>0</v>
      </c>
      <c r="W76" s="67">
        <f t="shared" si="6"/>
        <v>0</v>
      </c>
    </row>
    <row r="77" spans="2:23" s="122" customFormat="1" x14ac:dyDescent="0.4">
      <c r="B77" s="149" t="s">
        <v>135</v>
      </c>
      <c r="C77" s="150"/>
      <c r="D77" s="150"/>
      <c r="E77" s="150"/>
      <c r="F77" s="150"/>
      <c r="G77" s="151"/>
      <c r="H77" s="152"/>
      <c r="I77" s="153"/>
      <c r="J77" s="154"/>
      <c r="K77" s="155">
        <f>SUM(K68:K76)</f>
        <v>0</v>
      </c>
      <c r="L77" s="150" t="s">
        <v>71</v>
      </c>
      <c r="M77" s="156" t="str">
        <f t="shared" si="1"/>
        <v>【別途工事計】</v>
      </c>
      <c r="N77" s="156"/>
      <c r="O77" s="156"/>
      <c r="P77" s="156">
        <f t="shared" ref="P77" si="87">E77</f>
        <v>0</v>
      </c>
      <c r="Q77" s="156"/>
      <c r="R77" s="156"/>
      <c r="S77" s="152">
        <f t="shared" ref="S77" si="88">H77</f>
        <v>0</v>
      </c>
      <c r="T77" s="156">
        <f t="shared" ref="T77" si="89">I77</f>
        <v>0</v>
      </c>
      <c r="U77" s="154">
        <f t="shared" ref="U77" si="90">ROUNDDOWN(J77*$K$1,0)</f>
        <v>0</v>
      </c>
      <c r="V77" s="155">
        <f>SUM(V68:V76)</f>
        <v>0</v>
      </c>
      <c r="W77" s="156" t="str">
        <f t="shared" si="6"/>
        <v>クリア塗装品</v>
      </c>
    </row>
    <row r="78" spans="2:23" x14ac:dyDescent="0.4">
      <c r="B78" s="98"/>
      <c r="C78" s="99"/>
      <c r="D78" s="99"/>
      <c r="E78" s="99"/>
      <c r="F78" s="99"/>
      <c r="G78" s="99"/>
      <c r="H78" s="70" t="s">
        <v>100</v>
      </c>
      <c r="I78" s="71"/>
      <c r="J78" s="72"/>
      <c r="K78" s="73">
        <f>SUM(K47,K67,K77)</f>
        <v>4231427</v>
      </c>
      <c r="L78" s="70" t="s">
        <v>101</v>
      </c>
      <c r="M78" s="137"/>
      <c r="N78" s="138"/>
      <c r="O78" s="138"/>
      <c r="P78" s="138"/>
      <c r="Q78" s="138"/>
      <c r="R78" s="138"/>
      <c r="S78" s="70" t="s">
        <v>100</v>
      </c>
      <c r="T78" s="71"/>
      <c r="U78" s="72"/>
      <c r="V78" s="73">
        <f>SUM(V47,V67,V77)</f>
        <v>6059585</v>
      </c>
      <c r="W78" s="70" t="s">
        <v>101</v>
      </c>
    </row>
    <row r="79" spans="2:23" x14ac:dyDescent="0.4">
      <c r="B79" s="98"/>
      <c r="C79" s="99"/>
      <c r="D79" s="99"/>
      <c r="E79" s="99"/>
      <c r="F79" s="99"/>
      <c r="G79" s="99"/>
      <c r="H79" s="74" t="s">
        <v>102</v>
      </c>
      <c r="I79" s="75"/>
      <c r="J79" s="76"/>
      <c r="K79" s="77">
        <v>-427</v>
      </c>
      <c r="L79" s="76">
        <f>SUM(K78:K79)</f>
        <v>4231000</v>
      </c>
      <c r="M79" s="137"/>
      <c r="N79" s="138"/>
      <c r="O79" s="138"/>
      <c r="P79" s="138"/>
      <c r="Q79" s="138"/>
      <c r="R79" s="138"/>
      <c r="S79" s="166" t="s">
        <v>102</v>
      </c>
      <c r="T79" s="167"/>
      <c r="U79" s="168"/>
      <c r="V79" s="169">
        <v>-585</v>
      </c>
      <c r="W79" s="168">
        <f>SUM(V78:V79)</f>
        <v>6059000</v>
      </c>
    </row>
    <row r="80" spans="2:23" x14ac:dyDescent="0.4">
      <c r="B80" s="98"/>
      <c r="C80" s="99"/>
      <c r="D80" s="99"/>
      <c r="E80" s="99"/>
      <c r="F80" s="99"/>
      <c r="G80" s="99"/>
      <c r="H80" s="78" t="s">
        <v>103</v>
      </c>
      <c r="I80" s="79"/>
      <c r="J80" s="79">
        <v>0.1</v>
      </c>
      <c r="K80" s="80">
        <f>ROUNDDOWN(L79*J80,0)</f>
        <v>423100</v>
      </c>
      <c r="L80" s="61"/>
      <c r="M80" s="137"/>
      <c r="N80" s="138"/>
      <c r="O80" s="138"/>
      <c r="P80" s="138"/>
      <c r="Q80" s="138"/>
      <c r="R80" s="138"/>
      <c r="S80" s="78" t="s">
        <v>103</v>
      </c>
      <c r="T80" s="79"/>
      <c r="U80" s="79">
        <v>0.1</v>
      </c>
      <c r="V80" s="80">
        <f>ROUNDDOWN(W79*U80,0)</f>
        <v>605900</v>
      </c>
      <c r="W80" s="61"/>
    </row>
    <row r="81" spans="2:23" x14ac:dyDescent="0.4">
      <c r="B81" s="98"/>
      <c r="C81" s="99"/>
      <c r="D81" s="99"/>
      <c r="E81" s="99"/>
      <c r="F81" s="99"/>
      <c r="G81" s="99"/>
      <c r="H81" s="81" t="s">
        <v>104</v>
      </c>
      <c r="I81" s="82"/>
      <c r="J81" s="83"/>
      <c r="K81" s="84">
        <f>SUM(L79,K80)</f>
        <v>4654100</v>
      </c>
      <c r="L81" s="85"/>
      <c r="M81" s="137"/>
      <c r="N81" s="138"/>
      <c r="O81" s="138"/>
      <c r="P81" s="138"/>
      <c r="Q81" s="138"/>
      <c r="R81" s="138"/>
      <c r="S81" s="161" t="s">
        <v>104</v>
      </c>
      <c r="T81" s="162"/>
      <c r="U81" s="163"/>
      <c r="V81" s="164">
        <f>SUM(W79,V80)</f>
        <v>6664900</v>
      </c>
      <c r="W81" s="165"/>
    </row>
    <row r="82" spans="2:23" ht="18" customHeight="1" x14ac:dyDescent="0.4">
      <c r="B82" s="98"/>
      <c r="C82" s="99"/>
      <c r="D82" s="99"/>
      <c r="E82" s="99"/>
      <c r="F82" s="99"/>
      <c r="G82" s="99"/>
      <c r="H82" s="92"/>
      <c r="I82" s="92"/>
      <c r="J82" s="93"/>
      <c r="K82" s="93"/>
      <c r="L82" s="94"/>
      <c r="M82" s="137"/>
      <c r="N82" s="138"/>
      <c r="O82" s="138"/>
      <c r="P82" s="138"/>
      <c r="Q82" s="138"/>
      <c r="R82" s="138"/>
      <c r="S82" s="136"/>
      <c r="T82" s="136"/>
      <c r="U82" s="97"/>
      <c r="V82" s="93"/>
      <c r="W82" s="94"/>
    </row>
    <row r="83" spans="2:23" ht="18" customHeight="1" x14ac:dyDescent="0.4">
      <c r="B83" s="98"/>
      <c r="C83" s="99"/>
      <c r="D83" s="99"/>
      <c r="E83" s="99"/>
      <c r="F83" s="99"/>
      <c r="G83" s="99"/>
      <c r="H83" s="99"/>
      <c r="I83" s="99"/>
      <c r="J83" s="100"/>
      <c r="K83" s="100"/>
      <c r="L83" s="101"/>
      <c r="M83" s="137"/>
      <c r="N83" s="138"/>
      <c r="O83" s="138"/>
      <c r="P83" s="138"/>
      <c r="Q83" s="138"/>
      <c r="R83" s="138"/>
      <c r="S83" s="138"/>
      <c r="T83" s="138"/>
      <c r="U83" s="104"/>
      <c r="V83" s="100"/>
      <c r="W83" s="101"/>
    </row>
    <row r="84" spans="2:23" ht="18" customHeight="1" x14ac:dyDescent="0.4">
      <c r="B84" s="98"/>
      <c r="C84" s="99"/>
      <c r="D84" s="99"/>
      <c r="E84" s="99"/>
      <c r="F84" s="99"/>
      <c r="G84" s="99"/>
      <c r="H84" s="99"/>
      <c r="I84" s="99"/>
      <c r="J84" s="100"/>
      <c r="K84" s="100"/>
      <c r="L84" s="101"/>
      <c r="M84" s="137"/>
      <c r="N84" s="138"/>
      <c r="O84" s="138"/>
      <c r="P84" s="138"/>
      <c r="Q84" s="138"/>
      <c r="R84" s="138"/>
      <c r="S84" s="138"/>
      <c r="T84" s="138"/>
      <c r="U84" s="104"/>
      <c r="V84" s="100"/>
      <c r="W84" s="101"/>
    </row>
    <row r="85" spans="2:23" ht="18" customHeight="1" x14ac:dyDescent="0.4">
      <c r="B85" s="98"/>
      <c r="C85" s="99"/>
      <c r="D85" s="99"/>
      <c r="E85" s="99"/>
      <c r="F85" s="99"/>
      <c r="G85" s="99"/>
      <c r="H85" s="99"/>
      <c r="I85" s="99"/>
      <c r="J85" s="100"/>
      <c r="K85" s="100"/>
      <c r="L85" s="101"/>
      <c r="M85" s="137"/>
      <c r="N85" s="138"/>
      <c r="O85" s="138"/>
      <c r="P85" s="138"/>
      <c r="Q85" s="138"/>
      <c r="R85" s="138"/>
      <c r="S85" s="138"/>
      <c r="T85" s="138"/>
      <c r="U85" s="104"/>
      <c r="V85" s="100"/>
      <c r="W85" s="101"/>
    </row>
    <row r="86" spans="2:23" ht="18" customHeight="1" x14ac:dyDescent="0.4">
      <c r="B86" s="98"/>
      <c r="C86" s="99"/>
      <c r="D86" s="99"/>
      <c r="E86" s="99"/>
      <c r="F86" s="99"/>
      <c r="G86" s="99"/>
      <c r="H86" s="99"/>
      <c r="I86" s="99"/>
      <c r="J86" s="100"/>
      <c r="K86" s="100"/>
      <c r="L86" s="101"/>
      <c r="M86" s="137"/>
      <c r="N86" s="138"/>
      <c r="O86" s="138"/>
      <c r="P86" s="138"/>
      <c r="Q86" s="138"/>
      <c r="R86" s="138"/>
      <c r="S86" s="138"/>
      <c r="T86" s="138"/>
      <c r="U86" s="104"/>
      <c r="V86" s="100"/>
      <c r="W86" s="101"/>
    </row>
    <row r="87" spans="2:23" ht="18" customHeight="1" x14ac:dyDescent="0.4">
      <c r="B87" s="98"/>
      <c r="C87" s="99"/>
      <c r="D87" s="99"/>
      <c r="E87" s="99"/>
      <c r="F87" s="99"/>
      <c r="G87" s="99"/>
      <c r="H87" s="99"/>
      <c r="I87" s="99"/>
      <c r="J87" s="100"/>
      <c r="K87" s="100"/>
      <c r="L87" s="101"/>
      <c r="M87" s="137"/>
      <c r="N87" s="138"/>
      <c r="O87" s="138"/>
      <c r="P87" s="138"/>
      <c r="Q87" s="138"/>
      <c r="R87" s="138"/>
      <c r="S87" s="138"/>
      <c r="T87" s="138"/>
      <c r="U87" s="104"/>
      <c r="V87" s="100"/>
      <c r="W87" s="101"/>
    </row>
    <row r="88" spans="2:23" ht="18" customHeight="1" x14ac:dyDescent="0.4">
      <c r="B88" s="98"/>
      <c r="C88" s="99"/>
      <c r="D88" s="99"/>
      <c r="E88" s="99"/>
      <c r="F88" s="99"/>
      <c r="G88" s="99"/>
      <c r="H88" s="99"/>
      <c r="I88" s="99"/>
      <c r="J88" s="100"/>
      <c r="K88" s="100"/>
      <c r="L88" s="101"/>
      <c r="M88" s="137"/>
      <c r="N88" s="138"/>
      <c r="O88" s="138"/>
      <c r="P88" s="138"/>
      <c r="Q88" s="138"/>
      <c r="R88" s="138"/>
      <c r="S88" s="138"/>
      <c r="T88" s="138"/>
      <c r="U88" s="104"/>
      <c r="V88" s="100"/>
      <c r="W88" s="101"/>
    </row>
    <row r="89" spans="2:23" ht="18" customHeight="1" x14ac:dyDescent="0.4">
      <c r="B89" s="98"/>
      <c r="C89" s="99"/>
      <c r="D89" s="99"/>
      <c r="E89" s="99"/>
      <c r="F89" s="99"/>
      <c r="G89" s="99"/>
      <c r="H89" s="99"/>
      <c r="I89" s="99"/>
      <c r="J89" s="100"/>
      <c r="K89" s="100"/>
      <c r="L89" s="101"/>
      <c r="M89" s="137"/>
      <c r="N89" s="138"/>
      <c r="O89" s="138"/>
      <c r="P89" s="138"/>
      <c r="Q89" s="138"/>
      <c r="R89" s="138"/>
      <c r="S89" s="138"/>
      <c r="T89" s="138"/>
      <c r="U89" s="104"/>
      <c r="V89" s="100"/>
      <c r="W89" s="101"/>
    </row>
    <row r="90" spans="2:23" ht="18" customHeight="1" x14ac:dyDescent="0.4">
      <c r="B90" s="98"/>
      <c r="C90" s="99"/>
      <c r="D90" s="99"/>
      <c r="E90" s="99"/>
      <c r="F90" s="99"/>
      <c r="G90" s="99"/>
      <c r="H90" s="99"/>
      <c r="I90" s="99"/>
      <c r="J90" s="100"/>
      <c r="K90" s="100"/>
      <c r="L90" s="101"/>
      <c r="M90" s="137"/>
      <c r="N90" s="138"/>
      <c r="O90" s="138"/>
      <c r="P90" s="138"/>
      <c r="Q90" s="138"/>
      <c r="R90" s="138"/>
      <c r="S90" s="138"/>
      <c r="T90" s="138"/>
      <c r="U90" s="104"/>
      <c r="V90" s="100"/>
      <c r="W90" s="101"/>
    </row>
    <row r="91" spans="2:23" ht="18" customHeight="1" x14ac:dyDescent="0.4">
      <c r="B91" s="98"/>
      <c r="C91" s="99"/>
      <c r="D91" s="99"/>
      <c r="E91" s="99"/>
      <c r="F91" s="99"/>
      <c r="G91" s="99"/>
      <c r="H91" s="99"/>
      <c r="I91" s="99"/>
      <c r="J91" s="100"/>
      <c r="K91" s="100"/>
      <c r="L91" s="101"/>
      <c r="M91" s="137"/>
      <c r="N91" s="138"/>
      <c r="O91" s="138"/>
      <c r="P91" s="138"/>
      <c r="Q91" s="138"/>
      <c r="R91" s="138"/>
      <c r="S91" s="138"/>
      <c r="T91" s="138"/>
      <c r="U91" s="104"/>
      <c r="V91" s="100"/>
      <c r="W91" s="101"/>
    </row>
    <row r="92" spans="2:23" ht="18" customHeight="1" x14ac:dyDescent="0.4">
      <c r="B92" s="98"/>
      <c r="C92" s="99"/>
      <c r="D92" s="99"/>
      <c r="E92" s="99"/>
      <c r="F92" s="99"/>
      <c r="G92" s="99"/>
      <c r="H92" s="99"/>
      <c r="I92" s="99"/>
      <c r="J92" s="100"/>
      <c r="K92" s="100"/>
      <c r="L92" s="101"/>
      <c r="M92" s="137"/>
      <c r="N92" s="138"/>
      <c r="O92" s="138"/>
      <c r="P92" s="138"/>
      <c r="Q92" s="138"/>
      <c r="R92" s="138"/>
      <c r="S92" s="138"/>
      <c r="T92" s="138"/>
      <c r="U92" s="104"/>
      <c r="V92" s="100"/>
      <c r="W92" s="101"/>
    </row>
    <row r="93" spans="2:23" ht="18" customHeight="1" x14ac:dyDescent="0.4">
      <c r="B93" s="98"/>
      <c r="C93" s="99"/>
      <c r="D93" s="99"/>
      <c r="E93" s="99"/>
      <c r="F93" s="99"/>
      <c r="G93" s="99"/>
      <c r="H93" s="99"/>
      <c r="I93" s="99"/>
      <c r="J93" s="100"/>
      <c r="K93" s="100"/>
      <c r="L93" s="101"/>
      <c r="M93" s="137"/>
      <c r="N93" s="138"/>
      <c r="O93" s="138"/>
      <c r="P93" s="138"/>
      <c r="Q93" s="138"/>
      <c r="R93" s="138"/>
      <c r="S93" s="138"/>
      <c r="T93" s="138"/>
      <c r="U93" s="104"/>
      <c r="V93" s="100"/>
      <c r="W93" s="101"/>
    </row>
    <row r="94" spans="2:23" ht="18" customHeight="1" x14ac:dyDescent="0.4">
      <c r="B94" s="98"/>
      <c r="C94" s="99"/>
      <c r="D94" s="99"/>
      <c r="E94" s="99"/>
      <c r="F94" s="99"/>
      <c r="G94" s="99"/>
      <c r="H94" s="99"/>
      <c r="I94" s="99"/>
      <c r="J94" s="100"/>
      <c r="K94" s="100"/>
      <c r="L94" s="101"/>
      <c r="M94" s="137"/>
      <c r="N94" s="138"/>
      <c r="O94" s="138"/>
      <c r="P94" s="138"/>
      <c r="Q94" s="138"/>
      <c r="R94" s="138"/>
      <c r="S94" s="138"/>
      <c r="T94" s="138"/>
      <c r="U94" s="104"/>
      <c r="V94" s="100"/>
      <c r="W94" s="101"/>
    </row>
    <row r="95" spans="2:23" ht="18" customHeight="1" x14ac:dyDescent="0.4">
      <c r="B95" s="98"/>
      <c r="C95" s="99"/>
      <c r="D95" s="99"/>
      <c r="E95" s="99"/>
      <c r="F95" s="99"/>
      <c r="G95" s="99"/>
      <c r="H95" s="99"/>
      <c r="I95" s="99"/>
      <c r="J95" s="100"/>
      <c r="K95" s="100"/>
      <c r="L95" s="101"/>
      <c r="M95" s="137"/>
      <c r="N95" s="138"/>
      <c r="O95" s="138"/>
      <c r="P95" s="138"/>
      <c r="Q95" s="138"/>
      <c r="R95" s="138"/>
      <c r="S95" s="138"/>
      <c r="T95" s="138"/>
      <c r="U95" s="104"/>
      <c r="V95" s="100"/>
      <c r="W95" s="101"/>
    </row>
    <row r="96" spans="2:23" ht="18" customHeight="1" x14ac:dyDescent="0.4">
      <c r="B96" s="98"/>
      <c r="C96" s="99"/>
      <c r="D96" s="99"/>
      <c r="E96" s="99"/>
      <c r="F96" s="99"/>
      <c r="G96" s="99"/>
      <c r="H96" s="99"/>
      <c r="I96" s="99"/>
      <c r="J96" s="100"/>
      <c r="K96" s="100"/>
      <c r="L96" s="101"/>
      <c r="M96" s="137"/>
      <c r="N96" s="138"/>
      <c r="O96" s="138"/>
      <c r="P96" s="138"/>
      <c r="Q96" s="138"/>
      <c r="R96" s="138"/>
      <c r="S96" s="138"/>
      <c r="T96" s="138"/>
      <c r="U96" s="104"/>
      <c r="V96" s="100"/>
      <c r="W96" s="101"/>
    </row>
    <row r="97" spans="2:23" ht="18" customHeight="1" x14ac:dyDescent="0.4">
      <c r="B97" s="98"/>
      <c r="C97" s="99"/>
      <c r="D97" s="99"/>
      <c r="E97" s="99"/>
      <c r="F97" s="99"/>
      <c r="G97" s="99"/>
      <c r="H97" s="99"/>
      <c r="I97" s="99"/>
      <c r="J97" s="100"/>
      <c r="K97" s="100"/>
      <c r="L97" s="101"/>
      <c r="M97" s="137"/>
      <c r="N97" s="138"/>
      <c r="O97" s="138"/>
      <c r="P97" s="138"/>
      <c r="Q97" s="138"/>
      <c r="R97" s="138"/>
      <c r="S97" s="138"/>
      <c r="T97" s="138"/>
      <c r="U97" s="104"/>
      <c r="V97" s="100"/>
      <c r="W97" s="101"/>
    </row>
    <row r="98" spans="2:23" ht="18" customHeight="1" x14ac:dyDescent="0.4">
      <c r="B98" s="98"/>
      <c r="C98" s="99"/>
      <c r="D98" s="99"/>
      <c r="E98" s="99"/>
      <c r="F98" s="99"/>
      <c r="G98" s="99"/>
      <c r="H98" s="99"/>
      <c r="I98" s="99"/>
      <c r="J98" s="100"/>
      <c r="K98" s="100"/>
      <c r="L98" s="101"/>
      <c r="M98" s="137"/>
      <c r="N98" s="138"/>
      <c r="O98" s="138"/>
      <c r="P98" s="138"/>
      <c r="Q98" s="138"/>
      <c r="R98" s="138"/>
      <c r="S98" s="138"/>
      <c r="T98" s="138"/>
      <c r="U98" s="104"/>
      <c r="V98" s="100"/>
      <c r="W98" s="101"/>
    </row>
    <row r="99" spans="2:23" ht="18" customHeight="1" x14ac:dyDescent="0.4">
      <c r="B99" s="98"/>
      <c r="C99" s="99"/>
      <c r="D99" s="99"/>
      <c r="E99" s="99"/>
      <c r="F99" s="99"/>
      <c r="G99" s="99"/>
      <c r="H99" s="99"/>
      <c r="I99" s="99"/>
      <c r="J99" s="100"/>
      <c r="K99" s="100"/>
      <c r="L99" s="101"/>
      <c r="M99" s="137"/>
      <c r="N99" s="138"/>
      <c r="O99" s="138"/>
      <c r="P99" s="138"/>
      <c r="Q99" s="138"/>
      <c r="R99" s="138"/>
      <c r="S99" s="138"/>
      <c r="T99" s="138"/>
      <c r="U99" s="104"/>
      <c r="V99" s="100"/>
      <c r="W99" s="101"/>
    </row>
    <row r="100" spans="2:23" ht="18" customHeight="1" x14ac:dyDescent="0.4">
      <c r="B100" s="98"/>
      <c r="C100" s="99"/>
      <c r="D100" s="99"/>
      <c r="E100" s="99"/>
      <c r="F100" s="99"/>
      <c r="G100" s="99"/>
      <c r="H100" s="99"/>
      <c r="I100" s="99"/>
      <c r="J100" s="100"/>
      <c r="K100" s="100"/>
      <c r="L100" s="101"/>
      <c r="M100" s="137"/>
      <c r="N100" s="138"/>
      <c r="O100" s="138"/>
      <c r="P100" s="138"/>
      <c r="Q100" s="138"/>
      <c r="R100" s="138"/>
      <c r="S100" s="138"/>
      <c r="T100" s="138"/>
      <c r="U100" s="104"/>
      <c r="V100" s="100"/>
      <c r="W100" s="101"/>
    </row>
    <row r="101" spans="2:23" ht="18" customHeight="1" x14ac:dyDescent="0.4">
      <c r="B101" s="98"/>
      <c r="C101" s="99"/>
      <c r="D101" s="99"/>
      <c r="E101" s="99"/>
      <c r="F101" s="99"/>
      <c r="G101" s="99"/>
      <c r="H101" s="99"/>
      <c r="I101" s="99"/>
      <c r="J101" s="100"/>
      <c r="K101" s="100"/>
      <c r="L101" s="101"/>
      <c r="M101" s="137"/>
      <c r="N101" s="138"/>
      <c r="O101" s="138"/>
      <c r="P101" s="138"/>
      <c r="Q101" s="138"/>
      <c r="R101" s="138"/>
      <c r="S101" s="138"/>
      <c r="T101" s="138"/>
      <c r="U101" s="104"/>
      <c r="V101" s="100"/>
      <c r="W101" s="101"/>
    </row>
    <row r="102" spans="2:23" ht="18" customHeight="1" x14ac:dyDescent="0.4">
      <c r="B102" s="98"/>
      <c r="C102" s="99"/>
      <c r="D102" s="99"/>
      <c r="E102" s="99"/>
      <c r="F102" s="99"/>
      <c r="G102" s="99"/>
      <c r="H102" s="99"/>
      <c r="I102" s="99"/>
      <c r="J102" s="100"/>
      <c r="K102" s="100"/>
      <c r="L102" s="101"/>
      <c r="M102" s="137"/>
      <c r="N102" s="138"/>
      <c r="O102" s="138"/>
      <c r="P102" s="138"/>
      <c r="Q102" s="138"/>
      <c r="R102" s="138"/>
      <c r="S102" s="138"/>
      <c r="T102" s="138"/>
      <c r="U102" s="104"/>
      <c r="V102" s="100"/>
      <c r="W102" s="101"/>
    </row>
    <row r="103" spans="2:23" ht="18" customHeight="1" x14ac:dyDescent="0.4">
      <c r="B103" s="105"/>
      <c r="C103" s="106"/>
      <c r="D103" s="106"/>
      <c r="E103" s="106"/>
      <c r="F103" s="106"/>
      <c r="G103" s="106"/>
      <c r="H103" s="106"/>
      <c r="I103" s="106"/>
      <c r="J103" s="107"/>
      <c r="K103" s="107"/>
      <c r="L103" s="108"/>
      <c r="M103" s="139"/>
      <c r="N103" s="140"/>
      <c r="O103" s="140"/>
      <c r="P103" s="140"/>
      <c r="Q103" s="140"/>
      <c r="R103" s="140"/>
      <c r="S103" s="140"/>
      <c r="T103" s="140"/>
      <c r="U103" s="111"/>
      <c r="V103" s="107"/>
      <c r="W103" s="108"/>
    </row>
    <row r="104" spans="2:23" ht="18" customHeight="1" x14ac:dyDescent="0.4">
      <c r="B104" s="86"/>
      <c r="C104" s="87"/>
      <c r="D104" s="87"/>
      <c r="E104" s="87"/>
      <c r="F104" s="87"/>
      <c r="G104" s="87"/>
      <c r="H104" s="87"/>
      <c r="I104" s="87"/>
      <c r="J104" s="88"/>
      <c r="K104" s="87"/>
      <c r="L104" s="89"/>
      <c r="M104" s="90"/>
      <c r="N104" s="87"/>
      <c r="O104" s="87"/>
      <c r="P104" s="87"/>
      <c r="Q104" s="87"/>
      <c r="R104" s="87"/>
      <c r="S104" s="87"/>
      <c r="T104" s="87"/>
      <c r="U104" s="88"/>
      <c r="V104" s="87"/>
      <c r="W104" s="89"/>
    </row>
    <row r="105" spans="2:23" ht="18" customHeight="1" x14ac:dyDescent="0.4">
      <c r="B105" s="91"/>
      <c r="C105" s="92"/>
      <c r="D105" s="92"/>
      <c r="E105" s="92"/>
      <c r="F105" s="92"/>
      <c r="G105" s="92"/>
      <c r="H105" s="92"/>
      <c r="I105" s="92"/>
      <c r="J105" s="93"/>
      <c r="K105" s="93"/>
      <c r="L105" s="94"/>
      <c r="M105" s="95"/>
      <c r="N105" s="96"/>
      <c r="O105" s="96"/>
      <c r="P105" s="96"/>
      <c r="Q105" s="96"/>
      <c r="R105" s="96"/>
      <c r="S105" s="96"/>
      <c r="T105" s="96"/>
      <c r="U105" s="97"/>
      <c r="V105" s="93"/>
      <c r="W105" s="94"/>
    </row>
    <row r="106" spans="2:23" ht="18" customHeight="1" x14ac:dyDescent="0.4">
      <c r="B106" s="98"/>
      <c r="C106" s="99"/>
      <c r="D106" s="99"/>
      <c r="E106" s="99"/>
      <c r="F106" s="99"/>
      <c r="G106" s="99"/>
      <c r="H106" s="99"/>
      <c r="I106" s="99"/>
      <c r="J106" s="100"/>
      <c r="K106" s="100"/>
      <c r="L106" s="101"/>
      <c r="M106" s="102"/>
      <c r="N106" s="103"/>
      <c r="O106" s="103"/>
      <c r="P106" s="103"/>
      <c r="Q106" s="103"/>
      <c r="R106" s="103"/>
      <c r="S106" s="103"/>
      <c r="T106" s="103"/>
      <c r="U106" s="104"/>
      <c r="V106" s="100"/>
      <c r="W106" s="101"/>
    </row>
    <row r="107" spans="2:23" ht="18" customHeight="1" x14ac:dyDescent="0.4">
      <c r="B107" s="98"/>
      <c r="C107" s="99"/>
      <c r="D107" s="99"/>
      <c r="E107" s="99"/>
      <c r="F107" s="99"/>
      <c r="G107" s="99"/>
      <c r="H107" s="99"/>
      <c r="I107" s="99"/>
      <c r="J107" s="100"/>
      <c r="K107" s="100"/>
      <c r="L107" s="101"/>
      <c r="M107" s="102"/>
      <c r="N107" s="103"/>
      <c r="O107" s="103"/>
      <c r="P107" s="103"/>
      <c r="Q107" s="103"/>
      <c r="R107" s="103"/>
      <c r="S107" s="103"/>
      <c r="T107" s="103"/>
      <c r="U107" s="104"/>
      <c r="V107" s="100"/>
      <c r="W107" s="101"/>
    </row>
    <row r="108" spans="2:23" ht="18" customHeight="1" x14ac:dyDescent="0.4">
      <c r="B108" s="98"/>
      <c r="C108" s="99"/>
      <c r="D108" s="99"/>
      <c r="E108" s="99"/>
      <c r="F108" s="99"/>
      <c r="G108" s="99"/>
      <c r="H108" s="99"/>
      <c r="I108" s="99"/>
      <c r="J108" s="100"/>
      <c r="K108" s="100"/>
      <c r="L108" s="101"/>
      <c r="M108" s="102"/>
      <c r="N108" s="103"/>
      <c r="O108" s="103"/>
      <c r="P108" s="103"/>
      <c r="Q108" s="103"/>
      <c r="R108" s="103"/>
      <c r="S108" s="103"/>
      <c r="T108" s="103"/>
      <c r="U108" s="104"/>
      <c r="V108" s="100"/>
      <c r="W108" s="101"/>
    </row>
    <row r="109" spans="2:23" ht="18" customHeight="1" x14ac:dyDescent="0.4">
      <c r="B109" s="98"/>
      <c r="C109" s="99"/>
      <c r="D109" s="99"/>
      <c r="E109" s="99"/>
      <c r="F109" s="99"/>
      <c r="G109" s="99"/>
      <c r="H109" s="99"/>
      <c r="I109" s="99"/>
      <c r="J109" s="100"/>
      <c r="K109" s="100"/>
      <c r="L109" s="101"/>
      <c r="M109" s="102"/>
      <c r="N109" s="103"/>
      <c r="O109" s="103"/>
      <c r="P109" s="103"/>
      <c r="Q109" s="103"/>
      <c r="R109" s="103"/>
      <c r="S109" s="103"/>
      <c r="T109" s="103"/>
      <c r="U109" s="104"/>
      <c r="V109" s="100"/>
      <c r="W109" s="101"/>
    </row>
    <row r="110" spans="2:23" ht="18" customHeight="1" x14ac:dyDescent="0.4">
      <c r="B110" s="98"/>
      <c r="C110" s="99"/>
      <c r="D110" s="99"/>
      <c r="E110" s="99"/>
      <c r="F110" s="99"/>
      <c r="G110" s="99"/>
      <c r="H110" s="99"/>
      <c r="I110" s="99"/>
      <c r="J110" s="100"/>
      <c r="K110" s="100"/>
      <c r="L110" s="101"/>
      <c r="M110" s="102"/>
      <c r="N110" s="103"/>
      <c r="O110" s="103"/>
      <c r="P110" s="103"/>
      <c r="Q110" s="103"/>
      <c r="R110" s="103"/>
      <c r="S110" s="103"/>
      <c r="T110" s="103"/>
      <c r="U110" s="104"/>
      <c r="V110" s="100"/>
      <c r="W110" s="101"/>
    </row>
    <row r="111" spans="2:23" ht="18" customHeight="1" x14ac:dyDescent="0.4">
      <c r="B111" s="98"/>
      <c r="C111" s="99"/>
      <c r="D111" s="99"/>
      <c r="E111" s="99"/>
      <c r="F111" s="99"/>
      <c r="G111" s="99"/>
      <c r="H111" s="99"/>
      <c r="I111" s="99"/>
      <c r="J111" s="100"/>
      <c r="K111" s="100"/>
      <c r="L111" s="101"/>
      <c r="M111" s="102"/>
      <c r="N111" s="103"/>
      <c r="O111" s="103"/>
      <c r="P111" s="103"/>
      <c r="Q111" s="103"/>
      <c r="R111" s="103"/>
      <c r="S111" s="103"/>
      <c r="T111" s="103"/>
      <c r="U111" s="104"/>
      <c r="V111" s="100"/>
      <c r="W111" s="101"/>
    </row>
    <row r="112" spans="2:23" ht="18" customHeight="1" x14ac:dyDescent="0.4">
      <c r="B112" s="98"/>
      <c r="C112" s="99"/>
      <c r="D112" s="99"/>
      <c r="E112" s="99"/>
      <c r="F112" s="99"/>
      <c r="G112" s="99"/>
      <c r="H112" s="99"/>
      <c r="I112" s="99"/>
      <c r="J112" s="100"/>
      <c r="K112" s="100"/>
      <c r="L112" s="101"/>
      <c r="M112" s="102"/>
      <c r="N112" s="103"/>
      <c r="O112" s="103"/>
      <c r="P112" s="103"/>
      <c r="Q112" s="103"/>
      <c r="R112" s="103"/>
      <c r="S112" s="103"/>
      <c r="T112" s="103"/>
      <c r="U112" s="104"/>
      <c r="V112" s="100"/>
      <c r="W112" s="101"/>
    </row>
    <row r="113" spans="2:23" ht="18" customHeight="1" x14ac:dyDescent="0.4">
      <c r="B113" s="98"/>
      <c r="C113" s="99"/>
      <c r="D113" s="99"/>
      <c r="E113" s="99"/>
      <c r="F113" s="99"/>
      <c r="G113" s="99"/>
      <c r="H113" s="99"/>
      <c r="I113" s="99"/>
      <c r="J113" s="100"/>
      <c r="K113" s="100"/>
      <c r="L113" s="101"/>
      <c r="M113" s="102"/>
      <c r="N113" s="103"/>
      <c r="O113" s="103"/>
      <c r="P113" s="103"/>
      <c r="Q113" s="103"/>
      <c r="R113" s="103"/>
      <c r="S113" s="103"/>
      <c r="T113" s="103"/>
      <c r="U113" s="104"/>
      <c r="V113" s="100"/>
      <c r="W113" s="101"/>
    </row>
    <row r="114" spans="2:23" ht="18" customHeight="1" x14ac:dyDescent="0.4">
      <c r="B114" s="105"/>
      <c r="C114" s="106"/>
      <c r="D114" s="106"/>
      <c r="E114" s="106"/>
      <c r="F114" s="106"/>
      <c r="G114" s="106"/>
      <c r="H114" s="106"/>
      <c r="I114" s="106"/>
      <c r="J114" s="107"/>
      <c r="K114" s="107"/>
      <c r="L114" s="108"/>
      <c r="M114" s="109"/>
      <c r="N114" s="110"/>
      <c r="O114" s="110"/>
      <c r="P114" s="110"/>
      <c r="Q114" s="110"/>
      <c r="R114" s="110"/>
      <c r="S114" s="110"/>
      <c r="T114" s="110"/>
      <c r="U114" s="111"/>
      <c r="V114" s="107"/>
      <c r="W114" s="108"/>
    </row>
    <row r="115" spans="2:23" ht="18" customHeight="1" x14ac:dyDescent="0.4">
      <c r="B115" s="86"/>
      <c r="C115" s="87"/>
      <c r="D115" s="87"/>
      <c r="E115" s="87"/>
      <c r="F115" s="87"/>
      <c r="G115" s="87"/>
      <c r="H115" s="87"/>
      <c r="I115" s="87"/>
      <c r="J115" s="88"/>
      <c r="K115" s="87"/>
      <c r="L115" s="89"/>
      <c r="M115" s="90"/>
      <c r="N115" s="87"/>
      <c r="O115" s="87"/>
      <c r="P115" s="87"/>
      <c r="Q115" s="87"/>
      <c r="R115" s="87"/>
      <c r="S115" s="87"/>
      <c r="T115" s="87"/>
      <c r="U115" s="88"/>
      <c r="V115" s="87"/>
      <c r="W115" s="89"/>
    </row>
    <row r="116" spans="2:23" ht="18" customHeight="1" x14ac:dyDescent="0.4">
      <c r="B116" s="91"/>
      <c r="C116" s="92"/>
      <c r="D116" s="92"/>
      <c r="E116" s="92"/>
      <c r="F116" s="92"/>
      <c r="G116" s="92"/>
      <c r="H116" s="92"/>
      <c r="I116" s="92"/>
      <c r="J116" s="93"/>
      <c r="K116" s="93"/>
      <c r="L116" s="94"/>
      <c r="M116" s="95"/>
      <c r="N116" s="96"/>
      <c r="O116" s="96"/>
      <c r="P116" s="96"/>
      <c r="Q116" s="96"/>
      <c r="R116" s="96"/>
      <c r="S116" s="96"/>
      <c r="T116" s="96"/>
      <c r="U116" s="97"/>
      <c r="V116" s="93"/>
      <c r="W116" s="94"/>
    </row>
    <row r="117" spans="2:23" ht="18" customHeight="1" x14ac:dyDescent="0.4">
      <c r="B117" s="98"/>
      <c r="C117" s="99"/>
      <c r="D117" s="99"/>
      <c r="E117" s="99"/>
      <c r="F117" s="99"/>
      <c r="G117" s="99"/>
      <c r="H117" s="99"/>
      <c r="I117" s="99"/>
      <c r="J117" s="100"/>
      <c r="K117" s="100"/>
      <c r="L117" s="101"/>
      <c r="M117" s="102"/>
      <c r="N117" s="103"/>
      <c r="O117" s="103"/>
      <c r="P117" s="103"/>
      <c r="Q117" s="103"/>
      <c r="R117" s="103"/>
      <c r="S117" s="103"/>
      <c r="T117" s="103"/>
      <c r="U117" s="104"/>
      <c r="V117" s="100"/>
      <c r="W117" s="101"/>
    </row>
    <row r="118" spans="2:23" ht="18" customHeight="1" x14ac:dyDescent="0.4">
      <c r="B118" s="98"/>
      <c r="C118" s="99"/>
      <c r="D118" s="99"/>
      <c r="E118" s="99"/>
      <c r="F118" s="99"/>
      <c r="G118" s="99"/>
      <c r="H118" s="99"/>
      <c r="I118" s="99"/>
      <c r="J118" s="100"/>
      <c r="K118" s="100"/>
      <c r="L118" s="101"/>
      <c r="M118" s="102"/>
      <c r="N118" s="103"/>
      <c r="O118" s="103"/>
      <c r="P118" s="103"/>
      <c r="Q118" s="103"/>
      <c r="R118" s="103"/>
      <c r="S118" s="103"/>
      <c r="T118" s="103"/>
      <c r="U118" s="104"/>
      <c r="V118" s="100"/>
      <c r="W118" s="101"/>
    </row>
    <row r="119" spans="2:23" ht="18" customHeight="1" x14ac:dyDescent="0.4">
      <c r="B119" s="98"/>
      <c r="C119" s="99"/>
      <c r="D119" s="99"/>
      <c r="E119" s="99"/>
      <c r="F119" s="99"/>
      <c r="G119" s="99"/>
      <c r="H119" s="99"/>
      <c r="I119" s="99"/>
      <c r="J119" s="100"/>
      <c r="K119" s="100"/>
      <c r="L119" s="101"/>
      <c r="M119" s="102"/>
      <c r="N119" s="103"/>
      <c r="O119" s="103"/>
      <c r="P119" s="103"/>
      <c r="Q119" s="103"/>
      <c r="R119" s="103"/>
      <c r="S119" s="103"/>
      <c r="T119" s="103"/>
      <c r="U119" s="104"/>
      <c r="V119" s="100"/>
      <c r="W119" s="101"/>
    </row>
    <row r="120" spans="2:23" ht="18" customHeight="1" x14ac:dyDescent="0.4">
      <c r="B120" s="98"/>
      <c r="C120" s="99"/>
      <c r="D120" s="99"/>
      <c r="E120" s="99"/>
      <c r="F120" s="99"/>
      <c r="G120" s="99"/>
      <c r="H120" s="99"/>
      <c r="I120" s="99"/>
      <c r="J120" s="100"/>
      <c r="K120" s="100"/>
      <c r="L120" s="101"/>
      <c r="M120" s="102"/>
      <c r="N120" s="103"/>
      <c r="O120" s="103"/>
      <c r="P120" s="103"/>
      <c r="Q120" s="103"/>
      <c r="R120" s="103"/>
      <c r="S120" s="103"/>
      <c r="T120" s="103"/>
      <c r="U120" s="104"/>
      <c r="V120" s="100"/>
      <c r="W120" s="101"/>
    </row>
    <row r="121" spans="2:23" ht="18" customHeight="1" x14ac:dyDescent="0.4">
      <c r="B121" s="98"/>
      <c r="C121" s="99"/>
      <c r="D121" s="99"/>
      <c r="E121" s="99"/>
      <c r="F121" s="99"/>
      <c r="G121" s="99"/>
      <c r="H121" s="99"/>
      <c r="I121" s="99"/>
      <c r="J121" s="100"/>
      <c r="K121" s="100"/>
      <c r="L121" s="101"/>
      <c r="M121" s="102"/>
      <c r="N121" s="103"/>
      <c r="O121" s="103"/>
      <c r="P121" s="103"/>
      <c r="Q121" s="103"/>
      <c r="R121" s="103"/>
      <c r="S121" s="103"/>
      <c r="T121" s="103"/>
      <c r="U121" s="104"/>
      <c r="V121" s="100"/>
      <c r="W121" s="101"/>
    </row>
    <row r="122" spans="2:23" ht="18" customHeight="1" x14ac:dyDescent="0.4">
      <c r="B122" s="98"/>
      <c r="C122" s="99"/>
      <c r="D122" s="99"/>
      <c r="E122" s="99"/>
      <c r="F122" s="99"/>
      <c r="G122" s="99"/>
      <c r="H122" s="99"/>
      <c r="I122" s="99"/>
      <c r="J122" s="100"/>
      <c r="K122" s="100"/>
      <c r="L122" s="101"/>
      <c r="M122" s="102"/>
      <c r="N122" s="103"/>
      <c r="O122" s="103"/>
      <c r="P122" s="103"/>
      <c r="Q122" s="103"/>
      <c r="R122" s="103"/>
      <c r="S122" s="103"/>
      <c r="T122" s="103"/>
      <c r="U122" s="104"/>
      <c r="V122" s="100"/>
      <c r="W122" s="101"/>
    </row>
    <row r="123" spans="2:23" ht="18" customHeight="1" x14ac:dyDescent="0.4">
      <c r="B123" s="98"/>
      <c r="C123" s="99"/>
      <c r="D123" s="99"/>
      <c r="E123" s="99"/>
      <c r="F123" s="99"/>
      <c r="G123" s="99"/>
      <c r="H123" s="99"/>
      <c r="I123" s="99"/>
      <c r="J123" s="100"/>
      <c r="K123" s="100"/>
      <c r="L123" s="101"/>
      <c r="M123" s="102"/>
      <c r="N123" s="103"/>
      <c r="O123" s="103"/>
      <c r="P123" s="103"/>
      <c r="Q123" s="103"/>
      <c r="R123" s="103"/>
      <c r="S123" s="103"/>
      <c r="T123" s="103"/>
      <c r="U123" s="104"/>
      <c r="V123" s="100"/>
      <c r="W123" s="101"/>
    </row>
    <row r="124" spans="2:23" ht="18" customHeight="1" x14ac:dyDescent="0.4">
      <c r="B124" s="98"/>
      <c r="C124" s="99"/>
      <c r="D124" s="99"/>
      <c r="E124" s="99"/>
      <c r="F124" s="99"/>
      <c r="G124" s="99"/>
      <c r="H124" s="99"/>
      <c r="I124" s="99"/>
      <c r="J124" s="100"/>
      <c r="K124" s="100"/>
      <c r="L124" s="101"/>
      <c r="M124" s="102"/>
      <c r="N124" s="103"/>
      <c r="O124" s="103"/>
      <c r="P124" s="103"/>
      <c r="Q124" s="103"/>
      <c r="R124" s="103"/>
      <c r="S124" s="103"/>
      <c r="T124" s="103"/>
      <c r="U124" s="104"/>
      <c r="V124" s="100"/>
      <c r="W124" s="101"/>
    </row>
    <row r="125" spans="2:23" ht="18" customHeight="1" x14ac:dyDescent="0.4">
      <c r="B125" s="105"/>
      <c r="C125" s="106"/>
      <c r="D125" s="106"/>
      <c r="E125" s="106"/>
      <c r="F125" s="106"/>
      <c r="G125" s="106"/>
      <c r="H125" s="106"/>
      <c r="I125" s="106"/>
      <c r="J125" s="107"/>
      <c r="K125" s="107"/>
      <c r="L125" s="108"/>
      <c r="M125" s="109"/>
      <c r="N125" s="110"/>
      <c r="O125" s="110"/>
      <c r="P125" s="110"/>
      <c r="Q125" s="110"/>
      <c r="R125" s="110"/>
      <c r="S125" s="110"/>
      <c r="T125" s="110"/>
      <c r="U125" s="111"/>
      <c r="V125" s="107"/>
      <c r="W125" s="108"/>
    </row>
    <row r="126" spans="2:23" ht="18" customHeight="1" x14ac:dyDescent="0.4">
      <c r="B126" s="86"/>
      <c r="C126" s="87"/>
      <c r="D126" s="87"/>
      <c r="E126" s="87"/>
      <c r="F126" s="87"/>
      <c r="G126" s="87"/>
      <c r="H126" s="87"/>
      <c r="I126" s="87"/>
      <c r="J126" s="88" t="s">
        <v>105</v>
      </c>
      <c r="K126" s="87"/>
      <c r="L126" s="89"/>
      <c r="M126" s="90">
        <f>B126</f>
        <v>0</v>
      </c>
      <c r="N126" s="87"/>
      <c r="O126" s="87"/>
      <c r="P126" s="87"/>
      <c r="Q126" s="87"/>
      <c r="R126" s="87"/>
      <c r="S126" s="87"/>
      <c r="T126" s="87"/>
      <c r="U126" s="88" t="s">
        <v>105</v>
      </c>
      <c r="V126" s="87"/>
      <c r="W126" s="89"/>
    </row>
    <row r="127" spans="2:23" ht="18" customHeight="1" x14ac:dyDescent="0.4">
      <c r="B127" s="91"/>
      <c r="C127" s="92"/>
      <c r="D127" s="92"/>
      <c r="E127" s="92"/>
      <c r="F127" s="92"/>
      <c r="G127" s="92"/>
      <c r="H127" s="92"/>
      <c r="I127" s="92"/>
      <c r="J127" s="93"/>
      <c r="K127" s="93"/>
      <c r="L127" s="94"/>
      <c r="M127" s="95"/>
      <c r="N127" s="96"/>
      <c r="O127" s="96"/>
      <c r="P127" s="96"/>
      <c r="Q127" s="96"/>
      <c r="R127" s="96"/>
      <c r="S127" s="96"/>
      <c r="T127" s="96"/>
      <c r="U127" s="97">
        <f t="shared" ref="U127:U136" si="91">J127</f>
        <v>0</v>
      </c>
      <c r="V127" s="93"/>
      <c r="W127" s="94"/>
    </row>
    <row r="128" spans="2:23" ht="18" customHeight="1" x14ac:dyDescent="0.4">
      <c r="B128" s="98"/>
      <c r="C128" s="99"/>
      <c r="D128" s="99"/>
      <c r="E128" s="99"/>
      <c r="F128" s="99"/>
      <c r="G128" s="99"/>
      <c r="H128" s="99"/>
      <c r="I128" s="99"/>
      <c r="J128" s="100"/>
      <c r="K128" s="100"/>
      <c r="L128" s="101"/>
      <c r="M128" s="102"/>
      <c r="N128" s="103"/>
      <c r="O128" s="103"/>
      <c r="P128" s="103"/>
      <c r="Q128" s="103"/>
      <c r="R128" s="103"/>
      <c r="S128" s="103"/>
      <c r="T128" s="103"/>
      <c r="U128" s="104">
        <f t="shared" si="91"/>
        <v>0</v>
      </c>
      <c r="V128" s="100"/>
      <c r="W128" s="101"/>
    </row>
    <row r="129" spans="2:23" ht="18" customHeight="1" x14ac:dyDescent="0.4">
      <c r="B129" s="98"/>
      <c r="C129" s="99"/>
      <c r="D129" s="99"/>
      <c r="E129" s="99"/>
      <c r="F129" s="99"/>
      <c r="G129" s="99"/>
      <c r="H129" s="99"/>
      <c r="I129" s="99"/>
      <c r="J129" s="100"/>
      <c r="K129" s="100"/>
      <c r="L129" s="101"/>
      <c r="M129" s="102"/>
      <c r="N129" s="103"/>
      <c r="O129" s="103"/>
      <c r="P129" s="103"/>
      <c r="Q129" s="103"/>
      <c r="R129" s="103"/>
      <c r="S129" s="103"/>
      <c r="T129" s="103"/>
      <c r="U129" s="104">
        <f t="shared" si="91"/>
        <v>0</v>
      </c>
      <c r="V129" s="100"/>
      <c r="W129" s="101"/>
    </row>
    <row r="130" spans="2:23" ht="18" customHeight="1" x14ac:dyDescent="0.4">
      <c r="B130" s="98"/>
      <c r="C130" s="99"/>
      <c r="D130" s="99"/>
      <c r="E130" s="99"/>
      <c r="F130" s="99"/>
      <c r="G130" s="99"/>
      <c r="H130" s="99"/>
      <c r="I130" s="99"/>
      <c r="J130" s="100"/>
      <c r="K130" s="100"/>
      <c r="L130" s="101"/>
      <c r="M130" s="102"/>
      <c r="N130" s="103"/>
      <c r="O130" s="103"/>
      <c r="P130" s="103"/>
      <c r="Q130" s="103"/>
      <c r="R130" s="103"/>
      <c r="S130" s="103"/>
      <c r="T130" s="103"/>
      <c r="U130" s="104">
        <f t="shared" si="91"/>
        <v>0</v>
      </c>
      <c r="V130" s="100"/>
      <c r="W130" s="101"/>
    </row>
    <row r="131" spans="2:23" ht="18" customHeight="1" x14ac:dyDescent="0.4">
      <c r="B131" s="98"/>
      <c r="C131" s="99"/>
      <c r="D131" s="99"/>
      <c r="E131" s="99"/>
      <c r="F131" s="99"/>
      <c r="G131" s="99"/>
      <c r="H131" s="99"/>
      <c r="I131" s="99"/>
      <c r="J131" s="100"/>
      <c r="K131" s="100"/>
      <c r="L131" s="101"/>
      <c r="M131" s="102"/>
      <c r="N131" s="103"/>
      <c r="O131" s="103"/>
      <c r="P131" s="103"/>
      <c r="Q131" s="103"/>
      <c r="R131" s="103"/>
      <c r="S131" s="103"/>
      <c r="T131" s="103"/>
      <c r="U131" s="104">
        <f t="shared" si="91"/>
        <v>0</v>
      </c>
      <c r="V131" s="100"/>
      <c r="W131" s="101"/>
    </row>
    <row r="132" spans="2:23" ht="18" customHeight="1" x14ac:dyDescent="0.4">
      <c r="B132" s="98"/>
      <c r="C132" s="99"/>
      <c r="D132" s="99"/>
      <c r="E132" s="99"/>
      <c r="F132" s="99"/>
      <c r="G132" s="99"/>
      <c r="H132" s="99"/>
      <c r="I132" s="99"/>
      <c r="J132" s="100"/>
      <c r="K132" s="100"/>
      <c r="L132" s="101"/>
      <c r="M132" s="102"/>
      <c r="N132" s="103"/>
      <c r="O132" s="103"/>
      <c r="P132" s="103"/>
      <c r="Q132" s="103"/>
      <c r="R132" s="103"/>
      <c r="S132" s="103"/>
      <c r="T132" s="103"/>
      <c r="U132" s="104">
        <f t="shared" si="91"/>
        <v>0</v>
      </c>
      <c r="V132" s="100"/>
      <c r="W132" s="101"/>
    </row>
    <row r="133" spans="2:23" ht="18" customHeight="1" x14ac:dyDescent="0.4">
      <c r="B133" s="98"/>
      <c r="C133" s="99"/>
      <c r="D133" s="99"/>
      <c r="E133" s="99"/>
      <c r="F133" s="99"/>
      <c r="G133" s="99"/>
      <c r="H133" s="99"/>
      <c r="I133" s="99"/>
      <c r="J133" s="100"/>
      <c r="K133" s="100"/>
      <c r="L133" s="101"/>
      <c r="M133" s="102"/>
      <c r="N133" s="103"/>
      <c r="O133" s="103"/>
      <c r="P133" s="103"/>
      <c r="Q133" s="103"/>
      <c r="R133" s="103"/>
      <c r="S133" s="103"/>
      <c r="T133" s="103"/>
      <c r="U133" s="104">
        <f t="shared" si="91"/>
        <v>0</v>
      </c>
      <c r="V133" s="100"/>
      <c r="W133" s="101"/>
    </row>
    <row r="134" spans="2:23" ht="18" customHeight="1" x14ac:dyDescent="0.4">
      <c r="B134" s="98"/>
      <c r="C134" s="99"/>
      <c r="D134" s="99"/>
      <c r="E134" s="99"/>
      <c r="F134" s="99"/>
      <c r="G134" s="99"/>
      <c r="H134" s="99"/>
      <c r="I134" s="99"/>
      <c r="J134" s="100"/>
      <c r="K134" s="100"/>
      <c r="L134" s="101"/>
      <c r="M134" s="102"/>
      <c r="N134" s="103"/>
      <c r="O134" s="103"/>
      <c r="P134" s="103"/>
      <c r="Q134" s="103"/>
      <c r="R134" s="103"/>
      <c r="S134" s="103"/>
      <c r="T134" s="103"/>
      <c r="U134" s="104">
        <f t="shared" si="91"/>
        <v>0</v>
      </c>
      <c r="V134" s="100"/>
      <c r="W134" s="101"/>
    </row>
    <row r="135" spans="2:23" ht="18" customHeight="1" x14ac:dyDescent="0.4">
      <c r="B135" s="98"/>
      <c r="C135" s="99"/>
      <c r="D135" s="99"/>
      <c r="E135" s="99"/>
      <c r="F135" s="99"/>
      <c r="G135" s="99"/>
      <c r="H135" s="99"/>
      <c r="I135" s="99"/>
      <c r="J135" s="100"/>
      <c r="K135" s="100"/>
      <c r="L135" s="101"/>
      <c r="M135" s="102"/>
      <c r="N135" s="103"/>
      <c r="O135" s="103"/>
      <c r="P135" s="103"/>
      <c r="Q135" s="103"/>
      <c r="R135" s="103"/>
      <c r="S135" s="103"/>
      <c r="T135" s="103"/>
      <c r="U135" s="104">
        <f t="shared" si="91"/>
        <v>0</v>
      </c>
      <c r="V135" s="100"/>
      <c r="W135" s="101"/>
    </row>
    <row r="136" spans="2:23" ht="18" customHeight="1" x14ac:dyDescent="0.4">
      <c r="B136" s="105"/>
      <c r="C136" s="106"/>
      <c r="D136" s="106"/>
      <c r="E136" s="106"/>
      <c r="F136" s="106"/>
      <c r="G136" s="106"/>
      <c r="H136" s="106"/>
      <c r="I136" s="106"/>
      <c r="J136" s="107"/>
      <c r="K136" s="107"/>
      <c r="L136" s="108"/>
      <c r="M136" s="109"/>
      <c r="N136" s="110"/>
      <c r="O136" s="110"/>
      <c r="P136" s="110"/>
      <c r="Q136" s="110"/>
      <c r="R136" s="110"/>
      <c r="S136" s="110"/>
      <c r="T136" s="110"/>
      <c r="U136" s="111">
        <f t="shared" si="91"/>
        <v>0</v>
      </c>
      <c r="V136" s="107"/>
      <c r="W136" s="108"/>
    </row>
    <row r="137" spans="2:23" ht="18" customHeight="1" x14ac:dyDescent="0.4">
      <c r="B137" s="86"/>
      <c r="C137" s="87"/>
      <c r="D137" s="87"/>
      <c r="E137" s="87"/>
      <c r="F137" s="87"/>
      <c r="G137" s="87"/>
      <c r="H137" s="87"/>
      <c r="I137" s="87"/>
      <c r="J137" s="88" t="s">
        <v>105</v>
      </c>
      <c r="K137" s="87"/>
      <c r="L137" s="89"/>
      <c r="M137" s="90">
        <f>B137</f>
        <v>0</v>
      </c>
      <c r="N137" s="87"/>
      <c r="O137" s="87"/>
      <c r="P137" s="87"/>
      <c r="Q137" s="87"/>
      <c r="R137" s="87"/>
      <c r="S137" s="87"/>
      <c r="T137" s="87"/>
      <c r="U137" s="88" t="s">
        <v>105</v>
      </c>
      <c r="V137" s="87"/>
      <c r="W137" s="89"/>
    </row>
    <row r="138" spans="2:23" ht="18" customHeight="1" x14ac:dyDescent="0.4">
      <c r="B138" s="91"/>
      <c r="C138" s="92"/>
      <c r="D138" s="92"/>
      <c r="E138" s="92"/>
      <c r="F138" s="92"/>
      <c r="G138" s="92"/>
      <c r="H138" s="92"/>
      <c r="I138" s="92"/>
      <c r="J138" s="93"/>
      <c r="K138" s="93"/>
      <c r="L138" s="94"/>
      <c r="M138" s="95"/>
      <c r="N138" s="96"/>
      <c r="O138" s="96"/>
      <c r="P138" s="96"/>
      <c r="Q138" s="96"/>
      <c r="R138" s="96"/>
      <c r="S138" s="96"/>
      <c r="T138" s="96"/>
      <c r="U138" s="97">
        <f t="shared" ref="U138:U147" si="92">J138</f>
        <v>0</v>
      </c>
      <c r="V138" s="93"/>
      <c r="W138" s="94"/>
    </row>
    <row r="139" spans="2:23" ht="18" customHeight="1" x14ac:dyDescent="0.4">
      <c r="B139" s="98"/>
      <c r="C139" s="99"/>
      <c r="D139" s="99"/>
      <c r="E139" s="99"/>
      <c r="F139" s="99"/>
      <c r="G139" s="99"/>
      <c r="H139" s="99"/>
      <c r="I139" s="99"/>
      <c r="J139" s="100"/>
      <c r="K139" s="100"/>
      <c r="L139" s="101"/>
      <c r="M139" s="102"/>
      <c r="N139" s="103"/>
      <c r="O139" s="103"/>
      <c r="P139" s="103"/>
      <c r="Q139" s="103"/>
      <c r="R139" s="103"/>
      <c r="S139" s="103"/>
      <c r="T139" s="103"/>
      <c r="U139" s="104">
        <f t="shared" si="92"/>
        <v>0</v>
      </c>
      <c r="V139" s="100"/>
      <c r="W139" s="101"/>
    </row>
    <row r="140" spans="2:23" ht="18" customHeight="1" x14ac:dyDescent="0.4">
      <c r="B140" s="98"/>
      <c r="C140" s="99"/>
      <c r="D140" s="99"/>
      <c r="E140" s="99"/>
      <c r="F140" s="99"/>
      <c r="G140" s="99"/>
      <c r="H140" s="99"/>
      <c r="I140" s="99"/>
      <c r="J140" s="100"/>
      <c r="K140" s="100"/>
      <c r="L140" s="101"/>
      <c r="M140" s="102"/>
      <c r="N140" s="103"/>
      <c r="O140" s="103"/>
      <c r="P140" s="103"/>
      <c r="Q140" s="103"/>
      <c r="R140" s="103"/>
      <c r="S140" s="103"/>
      <c r="T140" s="103"/>
      <c r="U140" s="104">
        <f t="shared" si="92"/>
        <v>0</v>
      </c>
      <c r="V140" s="100"/>
      <c r="W140" s="101"/>
    </row>
    <row r="141" spans="2:23" ht="18" customHeight="1" x14ac:dyDescent="0.4">
      <c r="B141" s="98"/>
      <c r="C141" s="99"/>
      <c r="D141" s="99"/>
      <c r="E141" s="99"/>
      <c r="F141" s="99"/>
      <c r="G141" s="99"/>
      <c r="H141" s="99"/>
      <c r="I141" s="99"/>
      <c r="J141" s="100"/>
      <c r="K141" s="100"/>
      <c r="L141" s="101"/>
      <c r="M141" s="102"/>
      <c r="N141" s="103"/>
      <c r="O141" s="103"/>
      <c r="P141" s="103"/>
      <c r="Q141" s="103"/>
      <c r="R141" s="103"/>
      <c r="S141" s="103"/>
      <c r="T141" s="103"/>
      <c r="U141" s="104">
        <f t="shared" si="92"/>
        <v>0</v>
      </c>
      <c r="V141" s="100"/>
      <c r="W141" s="101"/>
    </row>
    <row r="142" spans="2:23" ht="18" customHeight="1" x14ac:dyDescent="0.4">
      <c r="B142" s="98"/>
      <c r="C142" s="99"/>
      <c r="D142" s="99"/>
      <c r="E142" s="99"/>
      <c r="F142" s="99"/>
      <c r="G142" s="99"/>
      <c r="H142" s="99"/>
      <c r="I142" s="99"/>
      <c r="J142" s="100"/>
      <c r="K142" s="100"/>
      <c r="L142" s="101"/>
      <c r="M142" s="102"/>
      <c r="N142" s="103"/>
      <c r="O142" s="103"/>
      <c r="P142" s="103"/>
      <c r="Q142" s="103"/>
      <c r="R142" s="103"/>
      <c r="S142" s="103"/>
      <c r="T142" s="103"/>
      <c r="U142" s="104">
        <f t="shared" si="92"/>
        <v>0</v>
      </c>
      <c r="V142" s="100"/>
      <c r="W142" s="101"/>
    </row>
    <row r="143" spans="2:23" ht="18" customHeight="1" x14ac:dyDescent="0.4">
      <c r="B143" s="98"/>
      <c r="C143" s="99"/>
      <c r="D143" s="99"/>
      <c r="E143" s="99"/>
      <c r="F143" s="99"/>
      <c r="G143" s="99"/>
      <c r="H143" s="99"/>
      <c r="I143" s="99"/>
      <c r="J143" s="100"/>
      <c r="K143" s="100"/>
      <c r="L143" s="101"/>
      <c r="M143" s="102"/>
      <c r="N143" s="103"/>
      <c r="O143" s="103"/>
      <c r="P143" s="103"/>
      <c r="Q143" s="103"/>
      <c r="R143" s="103"/>
      <c r="S143" s="103"/>
      <c r="T143" s="103"/>
      <c r="U143" s="104">
        <f t="shared" si="92"/>
        <v>0</v>
      </c>
      <c r="V143" s="100"/>
      <c r="W143" s="101"/>
    </row>
    <row r="144" spans="2:23" ht="18" customHeight="1" x14ac:dyDescent="0.4">
      <c r="B144" s="98"/>
      <c r="C144" s="99"/>
      <c r="D144" s="99"/>
      <c r="E144" s="99"/>
      <c r="F144" s="99"/>
      <c r="G144" s="99"/>
      <c r="H144" s="99"/>
      <c r="I144" s="99"/>
      <c r="J144" s="100"/>
      <c r="K144" s="100"/>
      <c r="L144" s="101"/>
      <c r="M144" s="102"/>
      <c r="N144" s="103"/>
      <c r="O144" s="103"/>
      <c r="P144" s="103"/>
      <c r="Q144" s="103"/>
      <c r="R144" s="103"/>
      <c r="S144" s="103"/>
      <c r="T144" s="103"/>
      <c r="U144" s="104">
        <f t="shared" si="92"/>
        <v>0</v>
      </c>
      <c r="V144" s="100"/>
      <c r="W144" s="101"/>
    </row>
    <row r="145" spans="2:23" ht="18" customHeight="1" x14ac:dyDescent="0.4">
      <c r="B145" s="98"/>
      <c r="C145" s="99"/>
      <c r="D145" s="99"/>
      <c r="E145" s="99"/>
      <c r="F145" s="99"/>
      <c r="G145" s="99"/>
      <c r="H145" s="99"/>
      <c r="I145" s="99"/>
      <c r="J145" s="100"/>
      <c r="K145" s="100"/>
      <c r="L145" s="101"/>
      <c r="M145" s="102"/>
      <c r="N145" s="103"/>
      <c r="O145" s="103"/>
      <c r="P145" s="103"/>
      <c r="Q145" s="103"/>
      <c r="R145" s="103"/>
      <c r="S145" s="103"/>
      <c r="T145" s="103"/>
      <c r="U145" s="104">
        <f t="shared" si="92"/>
        <v>0</v>
      </c>
      <c r="V145" s="100"/>
      <c r="W145" s="101"/>
    </row>
    <row r="146" spans="2:23" ht="18" customHeight="1" x14ac:dyDescent="0.4">
      <c r="B146" s="98"/>
      <c r="C146" s="99"/>
      <c r="D146" s="99"/>
      <c r="E146" s="99"/>
      <c r="F146" s="99"/>
      <c r="G146" s="99"/>
      <c r="H146" s="99"/>
      <c r="I146" s="99"/>
      <c r="J146" s="100"/>
      <c r="K146" s="100"/>
      <c r="L146" s="101"/>
      <c r="M146" s="102"/>
      <c r="N146" s="103"/>
      <c r="O146" s="103"/>
      <c r="P146" s="103"/>
      <c r="Q146" s="103"/>
      <c r="R146" s="103"/>
      <c r="S146" s="103"/>
      <c r="T146" s="103"/>
      <c r="U146" s="104">
        <f t="shared" si="92"/>
        <v>0</v>
      </c>
      <c r="V146" s="100"/>
      <c r="W146" s="101"/>
    </row>
    <row r="147" spans="2:23" ht="18" customHeight="1" x14ac:dyDescent="0.4">
      <c r="B147" s="105"/>
      <c r="C147" s="106"/>
      <c r="D147" s="106"/>
      <c r="E147" s="106"/>
      <c r="F147" s="106"/>
      <c r="G147" s="106"/>
      <c r="H147" s="106"/>
      <c r="I147" s="106"/>
      <c r="J147" s="107"/>
      <c r="K147" s="107"/>
      <c r="L147" s="108"/>
      <c r="M147" s="109"/>
      <c r="N147" s="110"/>
      <c r="O147" s="110"/>
      <c r="P147" s="110"/>
      <c r="Q147" s="110"/>
      <c r="R147" s="110"/>
      <c r="S147" s="110"/>
      <c r="T147" s="110"/>
      <c r="U147" s="111">
        <f t="shared" si="92"/>
        <v>0</v>
      </c>
      <c r="V147" s="107"/>
      <c r="W147" s="108"/>
    </row>
    <row r="148" spans="2:23" ht="18" customHeight="1" x14ac:dyDescent="0.4">
      <c r="B148" s="86"/>
      <c r="C148" s="87"/>
      <c r="D148" s="87"/>
      <c r="E148" s="87"/>
      <c r="F148" s="87"/>
      <c r="G148" s="87"/>
      <c r="H148" s="87"/>
      <c r="I148" s="87"/>
      <c r="J148" s="88" t="s">
        <v>105</v>
      </c>
      <c r="K148" s="87"/>
      <c r="L148" s="89"/>
      <c r="M148" s="90">
        <f>B148</f>
        <v>0</v>
      </c>
      <c r="N148" s="87"/>
      <c r="O148" s="87"/>
      <c r="P148" s="87"/>
      <c r="Q148" s="87"/>
      <c r="R148" s="87"/>
      <c r="S148" s="87"/>
      <c r="T148" s="87"/>
      <c r="U148" s="88" t="s">
        <v>105</v>
      </c>
      <c r="V148" s="87"/>
      <c r="W148" s="89"/>
    </row>
    <row r="149" spans="2:23" ht="18" customHeight="1" x14ac:dyDescent="0.4">
      <c r="B149" s="91"/>
      <c r="C149" s="92"/>
      <c r="D149" s="92"/>
      <c r="E149" s="92"/>
      <c r="F149" s="92"/>
      <c r="G149" s="92"/>
      <c r="H149" s="92"/>
      <c r="I149" s="92"/>
      <c r="J149" s="93"/>
      <c r="K149" s="93"/>
      <c r="L149" s="94"/>
      <c r="M149" s="95"/>
      <c r="N149" s="96"/>
      <c r="O149" s="96"/>
      <c r="P149" s="96"/>
      <c r="Q149" s="96"/>
      <c r="R149" s="96"/>
      <c r="S149" s="96"/>
      <c r="T149" s="96"/>
      <c r="U149" s="97">
        <f t="shared" ref="U149:U158" si="93">J149</f>
        <v>0</v>
      </c>
      <c r="V149" s="93"/>
      <c r="W149" s="94"/>
    </row>
    <row r="150" spans="2:23" ht="18" customHeight="1" x14ac:dyDescent="0.4">
      <c r="B150" s="98"/>
      <c r="C150" s="99"/>
      <c r="D150" s="99"/>
      <c r="E150" s="99"/>
      <c r="F150" s="99"/>
      <c r="G150" s="99"/>
      <c r="H150" s="99"/>
      <c r="I150" s="99"/>
      <c r="J150" s="100"/>
      <c r="K150" s="100"/>
      <c r="L150" s="101"/>
      <c r="M150" s="102"/>
      <c r="N150" s="103"/>
      <c r="O150" s="103"/>
      <c r="P150" s="103"/>
      <c r="Q150" s="103"/>
      <c r="R150" s="103"/>
      <c r="S150" s="103"/>
      <c r="T150" s="103"/>
      <c r="U150" s="104">
        <f t="shared" si="93"/>
        <v>0</v>
      </c>
      <c r="V150" s="100"/>
      <c r="W150" s="101"/>
    </row>
    <row r="151" spans="2:23" ht="18" customHeight="1" x14ac:dyDescent="0.4">
      <c r="B151" s="98"/>
      <c r="C151" s="99"/>
      <c r="D151" s="99"/>
      <c r="E151" s="99"/>
      <c r="F151" s="99"/>
      <c r="G151" s="99"/>
      <c r="H151" s="99"/>
      <c r="I151" s="99"/>
      <c r="J151" s="100"/>
      <c r="K151" s="100"/>
      <c r="L151" s="101"/>
      <c r="M151" s="102"/>
      <c r="N151" s="103"/>
      <c r="O151" s="103"/>
      <c r="P151" s="103"/>
      <c r="Q151" s="103"/>
      <c r="R151" s="103"/>
      <c r="S151" s="103"/>
      <c r="T151" s="103"/>
      <c r="U151" s="104">
        <f t="shared" si="93"/>
        <v>0</v>
      </c>
      <c r="V151" s="100"/>
      <c r="W151" s="101"/>
    </row>
    <row r="152" spans="2:23" ht="18" customHeight="1" x14ac:dyDescent="0.4">
      <c r="B152" s="98"/>
      <c r="C152" s="99"/>
      <c r="D152" s="99"/>
      <c r="E152" s="99"/>
      <c r="F152" s="99"/>
      <c r="G152" s="99"/>
      <c r="H152" s="99"/>
      <c r="I152" s="99"/>
      <c r="J152" s="100"/>
      <c r="K152" s="100"/>
      <c r="L152" s="101"/>
      <c r="M152" s="102"/>
      <c r="N152" s="103"/>
      <c r="O152" s="103"/>
      <c r="P152" s="103"/>
      <c r="Q152" s="103"/>
      <c r="R152" s="103"/>
      <c r="S152" s="103"/>
      <c r="T152" s="103"/>
      <c r="U152" s="104">
        <f t="shared" si="93"/>
        <v>0</v>
      </c>
      <c r="V152" s="100"/>
      <c r="W152" s="101"/>
    </row>
    <row r="153" spans="2:23" ht="18" customHeight="1" x14ac:dyDescent="0.4">
      <c r="B153" s="98"/>
      <c r="C153" s="99"/>
      <c r="D153" s="99"/>
      <c r="E153" s="99"/>
      <c r="F153" s="99"/>
      <c r="G153" s="99"/>
      <c r="H153" s="99"/>
      <c r="I153" s="99"/>
      <c r="J153" s="100"/>
      <c r="K153" s="100"/>
      <c r="L153" s="101"/>
      <c r="M153" s="102"/>
      <c r="N153" s="103"/>
      <c r="O153" s="103"/>
      <c r="P153" s="103"/>
      <c r="Q153" s="103"/>
      <c r="R153" s="103"/>
      <c r="S153" s="103"/>
      <c r="T153" s="103"/>
      <c r="U153" s="104">
        <f t="shared" si="93"/>
        <v>0</v>
      </c>
      <c r="V153" s="100"/>
      <c r="W153" s="101"/>
    </row>
    <row r="154" spans="2:23" ht="18" customHeight="1" x14ac:dyDescent="0.4">
      <c r="B154" s="98"/>
      <c r="C154" s="99"/>
      <c r="D154" s="99"/>
      <c r="E154" s="99"/>
      <c r="F154" s="99"/>
      <c r="G154" s="99"/>
      <c r="H154" s="99"/>
      <c r="I154" s="99"/>
      <c r="J154" s="100"/>
      <c r="K154" s="100"/>
      <c r="L154" s="101"/>
      <c r="M154" s="102"/>
      <c r="N154" s="103"/>
      <c r="O154" s="103"/>
      <c r="P154" s="103"/>
      <c r="Q154" s="103"/>
      <c r="R154" s="103"/>
      <c r="S154" s="103"/>
      <c r="T154" s="103"/>
      <c r="U154" s="104">
        <f t="shared" si="93"/>
        <v>0</v>
      </c>
      <c r="V154" s="100"/>
      <c r="W154" s="101"/>
    </row>
    <row r="155" spans="2:23" ht="18" customHeight="1" x14ac:dyDescent="0.4">
      <c r="B155" s="98"/>
      <c r="C155" s="99"/>
      <c r="D155" s="99"/>
      <c r="E155" s="99"/>
      <c r="F155" s="99"/>
      <c r="G155" s="99"/>
      <c r="H155" s="99"/>
      <c r="I155" s="99"/>
      <c r="J155" s="100"/>
      <c r="K155" s="100"/>
      <c r="L155" s="101"/>
      <c r="M155" s="102"/>
      <c r="N155" s="103"/>
      <c r="O155" s="103"/>
      <c r="P155" s="103"/>
      <c r="Q155" s="103"/>
      <c r="R155" s="103"/>
      <c r="S155" s="103"/>
      <c r="T155" s="103"/>
      <c r="U155" s="104">
        <f t="shared" si="93"/>
        <v>0</v>
      </c>
      <c r="V155" s="100"/>
      <c r="W155" s="101"/>
    </row>
    <row r="156" spans="2:23" ht="18" customHeight="1" x14ac:dyDescent="0.4">
      <c r="B156" s="98"/>
      <c r="C156" s="99"/>
      <c r="D156" s="99"/>
      <c r="E156" s="99"/>
      <c r="F156" s="99"/>
      <c r="G156" s="99"/>
      <c r="H156" s="99"/>
      <c r="I156" s="99"/>
      <c r="J156" s="100"/>
      <c r="K156" s="100"/>
      <c r="L156" s="101"/>
      <c r="M156" s="102"/>
      <c r="N156" s="103"/>
      <c r="O156" s="103"/>
      <c r="P156" s="103"/>
      <c r="Q156" s="103"/>
      <c r="R156" s="103"/>
      <c r="S156" s="103"/>
      <c r="T156" s="103"/>
      <c r="U156" s="104">
        <f t="shared" si="93"/>
        <v>0</v>
      </c>
      <c r="V156" s="100"/>
      <c r="W156" s="101"/>
    </row>
    <row r="157" spans="2:23" ht="18" customHeight="1" x14ac:dyDescent="0.4">
      <c r="B157" s="98"/>
      <c r="C157" s="99"/>
      <c r="D157" s="99"/>
      <c r="E157" s="99"/>
      <c r="F157" s="99"/>
      <c r="G157" s="99"/>
      <c r="H157" s="99"/>
      <c r="I157" s="99"/>
      <c r="J157" s="100"/>
      <c r="K157" s="100"/>
      <c r="L157" s="101"/>
      <c r="M157" s="102"/>
      <c r="N157" s="103"/>
      <c r="O157" s="103"/>
      <c r="P157" s="103"/>
      <c r="Q157" s="103"/>
      <c r="R157" s="103"/>
      <c r="S157" s="103"/>
      <c r="T157" s="103"/>
      <c r="U157" s="104">
        <f t="shared" si="93"/>
        <v>0</v>
      </c>
      <c r="V157" s="100"/>
      <c r="W157" s="101"/>
    </row>
    <row r="158" spans="2:23" ht="18" customHeight="1" x14ac:dyDescent="0.4">
      <c r="B158" s="105"/>
      <c r="C158" s="106"/>
      <c r="D158" s="106"/>
      <c r="E158" s="106"/>
      <c r="F158" s="106"/>
      <c r="G158" s="106"/>
      <c r="H158" s="106"/>
      <c r="I158" s="106"/>
      <c r="J158" s="107"/>
      <c r="K158" s="107"/>
      <c r="L158" s="108"/>
      <c r="M158" s="109"/>
      <c r="N158" s="110"/>
      <c r="O158" s="110"/>
      <c r="P158" s="110"/>
      <c r="Q158" s="110"/>
      <c r="R158" s="110"/>
      <c r="S158" s="110"/>
      <c r="T158" s="110"/>
      <c r="U158" s="111">
        <f t="shared" si="93"/>
        <v>0</v>
      </c>
      <c r="V158" s="107"/>
      <c r="W158" s="108"/>
    </row>
    <row r="159" spans="2:23" ht="18" customHeight="1" x14ac:dyDescent="0.4">
      <c r="B159" s="86"/>
      <c r="C159" s="87"/>
      <c r="D159" s="87"/>
      <c r="E159" s="87"/>
      <c r="F159" s="87"/>
      <c r="G159" s="87"/>
      <c r="H159" s="87"/>
      <c r="I159" s="87"/>
      <c r="J159" s="88" t="s">
        <v>105</v>
      </c>
      <c r="K159" s="87"/>
      <c r="L159" s="89"/>
      <c r="M159" s="90">
        <f>B159</f>
        <v>0</v>
      </c>
      <c r="N159" s="87"/>
      <c r="O159" s="87"/>
      <c r="P159" s="87"/>
      <c r="Q159" s="87"/>
      <c r="R159" s="87"/>
      <c r="S159" s="87"/>
      <c r="T159" s="87"/>
      <c r="U159" s="88" t="s">
        <v>105</v>
      </c>
      <c r="V159" s="87"/>
      <c r="W159" s="89"/>
    </row>
    <row r="160" spans="2:23" ht="18" customHeight="1" x14ac:dyDescent="0.4">
      <c r="B160" s="95"/>
      <c r="C160" s="96"/>
      <c r="D160" s="96"/>
      <c r="E160" s="96"/>
      <c r="F160" s="96"/>
      <c r="G160" s="96"/>
      <c r="H160" s="96"/>
      <c r="I160" s="96"/>
      <c r="J160" s="93"/>
      <c r="K160" s="93"/>
      <c r="L160" s="94"/>
      <c r="M160" s="95"/>
      <c r="N160" s="96"/>
      <c r="O160" s="96"/>
      <c r="P160" s="96"/>
      <c r="Q160" s="96"/>
      <c r="R160" s="96"/>
      <c r="S160" s="96"/>
      <c r="T160" s="96"/>
      <c r="U160" s="97">
        <f t="shared" ref="U160:U169" si="94">J160</f>
        <v>0</v>
      </c>
      <c r="V160" s="93"/>
      <c r="W160" s="94"/>
    </row>
    <row r="161" spans="2:23" ht="18" customHeight="1" x14ac:dyDescent="0.4">
      <c r="B161" s="102"/>
      <c r="C161" s="103"/>
      <c r="D161" s="103"/>
      <c r="E161" s="103"/>
      <c r="F161" s="103"/>
      <c r="G161" s="103"/>
      <c r="H161" s="103"/>
      <c r="I161" s="103"/>
      <c r="J161" s="100"/>
      <c r="K161" s="100"/>
      <c r="L161" s="101"/>
      <c r="M161" s="102"/>
      <c r="N161" s="103"/>
      <c r="O161" s="103"/>
      <c r="P161" s="103"/>
      <c r="Q161" s="103"/>
      <c r="R161" s="103"/>
      <c r="S161" s="103"/>
      <c r="T161" s="103"/>
      <c r="U161" s="104">
        <f t="shared" si="94"/>
        <v>0</v>
      </c>
      <c r="V161" s="100"/>
      <c r="W161" s="101"/>
    </row>
    <row r="162" spans="2:23" ht="18" customHeight="1" x14ac:dyDescent="0.4">
      <c r="B162" s="102"/>
      <c r="C162" s="103"/>
      <c r="D162" s="103"/>
      <c r="E162" s="103"/>
      <c r="F162" s="103"/>
      <c r="G162" s="103"/>
      <c r="H162" s="103"/>
      <c r="I162" s="103"/>
      <c r="J162" s="100"/>
      <c r="K162" s="100"/>
      <c r="L162" s="101"/>
      <c r="M162" s="102"/>
      <c r="N162" s="103"/>
      <c r="O162" s="103"/>
      <c r="P162" s="103"/>
      <c r="Q162" s="103"/>
      <c r="R162" s="103"/>
      <c r="S162" s="103"/>
      <c r="T162" s="103"/>
      <c r="U162" s="104">
        <f t="shared" si="94"/>
        <v>0</v>
      </c>
      <c r="V162" s="100"/>
      <c r="W162" s="101"/>
    </row>
    <row r="163" spans="2:23" ht="18" customHeight="1" x14ac:dyDescent="0.4">
      <c r="B163" s="102"/>
      <c r="C163" s="103"/>
      <c r="D163" s="103"/>
      <c r="E163" s="103"/>
      <c r="F163" s="103"/>
      <c r="G163" s="103"/>
      <c r="H163" s="103"/>
      <c r="I163" s="103"/>
      <c r="J163" s="100"/>
      <c r="K163" s="100"/>
      <c r="L163" s="101"/>
      <c r="M163" s="102"/>
      <c r="N163" s="103"/>
      <c r="O163" s="103"/>
      <c r="P163" s="103"/>
      <c r="Q163" s="103"/>
      <c r="R163" s="103"/>
      <c r="S163" s="103"/>
      <c r="T163" s="103"/>
      <c r="U163" s="104">
        <f t="shared" si="94"/>
        <v>0</v>
      </c>
      <c r="V163" s="100"/>
      <c r="W163" s="101"/>
    </row>
    <row r="164" spans="2:23" ht="18" customHeight="1" x14ac:dyDescent="0.4">
      <c r="B164" s="102"/>
      <c r="C164" s="103"/>
      <c r="D164" s="103"/>
      <c r="E164" s="103"/>
      <c r="F164" s="103"/>
      <c r="G164" s="103"/>
      <c r="H164" s="103"/>
      <c r="I164" s="103"/>
      <c r="J164" s="100"/>
      <c r="K164" s="100"/>
      <c r="L164" s="101"/>
      <c r="M164" s="102"/>
      <c r="N164" s="103"/>
      <c r="O164" s="103"/>
      <c r="P164" s="103"/>
      <c r="Q164" s="103"/>
      <c r="R164" s="103"/>
      <c r="S164" s="103"/>
      <c r="T164" s="103"/>
      <c r="U164" s="104">
        <f t="shared" si="94"/>
        <v>0</v>
      </c>
      <c r="V164" s="100"/>
      <c r="W164" s="101"/>
    </row>
    <row r="165" spans="2:23" ht="18" customHeight="1" x14ac:dyDescent="0.4">
      <c r="B165" s="102"/>
      <c r="C165" s="103"/>
      <c r="D165" s="103"/>
      <c r="E165" s="103"/>
      <c r="F165" s="103"/>
      <c r="G165" s="103"/>
      <c r="H165" s="103"/>
      <c r="I165" s="103"/>
      <c r="J165" s="100"/>
      <c r="K165" s="100"/>
      <c r="L165" s="101"/>
      <c r="M165" s="102"/>
      <c r="N165" s="103"/>
      <c r="O165" s="103"/>
      <c r="P165" s="103"/>
      <c r="Q165" s="103"/>
      <c r="R165" s="103"/>
      <c r="S165" s="103"/>
      <c r="T165" s="103"/>
      <c r="U165" s="104">
        <f t="shared" si="94"/>
        <v>0</v>
      </c>
      <c r="V165" s="100"/>
      <c r="W165" s="101"/>
    </row>
    <row r="166" spans="2:23" ht="18" customHeight="1" x14ac:dyDescent="0.4">
      <c r="B166" s="102"/>
      <c r="C166" s="103"/>
      <c r="D166" s="103"/>
      <c r="E166" s="103"/>
      <c r="F166" s="103"/>
      <c r="G166" s="103"/>
      <c r="H166" s="103"/>
      <c r="I166" s="103"/>
      <c r="J166" s="100"/>
      <c r="K166" s="100"/>
      <c r="L166" s="101"/>
      <c r="M166" s="102"/>
      <c r="N166" s="103"/>
      <c r="O166" s="103"/>
      <c r="P166" s="103"/>
      <c r="Q166" s="103"/>
      <c r="R166" s="103"/>
      <c r="S166" s="103"/>
      <c r="T166" s="103"/>
      <c r="U166" s="104">
        <f t="shared" si="94"/>
        <v>0</v>
      </c>
      <c r="V166" s="100"/>
      <c r="W166" s="101"/>
    </row>
    <row r="167" spans="2:23" ht="18" customHeight="1" x14ac:dyDescent="0.4">
      <c r="B167" s="102"/>
      <c r="C167" s="103"/>
      <c r="D167" s="103"/>
      <c r="E167" s="103"/>
      <c r="F167" s="103"/>
      <c r="G167" s="103"/>
      <c r="H167" s="103"/>
      <c r="I167" s="103"/>
      <c r="J167" s="100"/>
      <c r="K167" s="100"/>
      <c r="L167" s="101"/>
      <c r="M167" s="102"/>
      <c r="N167" s="103"/>
      <c r="O167" s="103"/>
      <c r="P167" s="103"/>
      <c r="Q167" s="103"/>
      <c r="R167" s="103"/>
      <c r="S167" s="103"/>
      <c r="T167" s="103"/>
      <c r="U167" s="104">
        <f t="shared" si="94"/>
        <v>0</v>
      </c>
      <c r="V167" s="100"/>
      <c r="W167" s="101"/>
    </row>
    <row r="168" spans="2:23" ht="18" customHeight="1" x14ac:dyDescent="0.4">
      <c r="B168" s="102"/>
      <c r="C168" s="103"/>
      <c r="D168" s="103"/>
      <c r="E168" s="103"/>
      <c r="F168" s="103"/>
      <c r="G168" s="103"/>
      <c r="H168" s="103"/>
      <c r="I168" s="103"/>
      <c r="J168" s="100"/>
      <c r="K168" s="100"/>
      <c r="L168" s="101"/>
      <c r="M168" s="102"/>
      <c r="N168" s="103"/>
      <c r="O168" s="103"/>
      <c r="P168" s="103"/>
      <c r="Q168" s="103"/>
      <c r="R168" s="103"/>
      <c r="S168" s="103"/>
      <c r="T168" s="103"/>
      <c r="U168" s="104">
        <f t="shared" si="94"/>
        <v>0</v>
      </c>
      <c r="V168" s="100"/>
      <c r="W168" s="101"/>
    </row>
    <row r="169" spans="2:23" ht="18" customHeight="1" x14ac:dyDescent="0.4">
      <c r="B169" s="109"/>
      <c r="C169" s="110"/>
      <c r="D169" s="110"/>
      <c r="E169" s="110"/>
      <c r="F169" s="110"/>
      <c r="G169" s="110"/>
      <c r="H169" s="110"/>
      <c r="I169" s="110"/>
      <c r="J169" s="107"/>
      <c r="K169" s="107"/>
      <c r="L169" s="108"/>
      <c r="M169" s="109"/>
      <c r="N169" s="110"/>
      <c r="O169" s="110"/>
      <c r="P169" s="110"/>
      <c r="Q169" s="110"/>
      <c r="R169" s="110"/>
      <c r="S169" s="110"/>
      <c r="T169" s="110"/>
      <c r="U169" s="111">
        <f t="shared" si="94"/>
        <v>0</v>
      </c>
      <c r="V169" s="107"/>
      <c r="W169" s="108"/>
    </row>
    <row r="170" spans="2:23" ht="18" customHeight="1" x14ac:dyDescent="0.4">
      <c r="B170" s="86"/>
      <c r="C170" s="87"/>
      <c r="D170" s="87"/>
      <c r="E170" s="87"/>
      <c r="F170" s="87"/>
      <c r="G170" s="87"/>
      <c r="H170" s="87"/>
      <c r="I170" s="87"/>
      <c r="J170" s="88" t="s">
        <v>105</v>
      </c>
      <c r="K170" s="87"/>
      <c r="L170" s="89"/>
      <c r="M170" s="90">
        <f>B170</f>
        <v>0</v>
      </c>
      <c r="N170" s="87"/>
      <c r="O170" s="87"/>
      <c r="P170" s="87"/>
      <c r="Q170" s="87"/>
      <c r="R170" s="87"/>
      <c r="S170" s="87"/>
      <c r="T170" s="87"/>
      <c r="U170" s="88" t="s">
        <v>105</v>
      </c>
      <c r="V170" s="87"/>
      <c r="W170" s="89"/>
    </row>
    <row r="171" spans="2:23" ht="18" customHeight="1" x14ac:dyDescent="0.4">
      <c r="B171" s="95"/>
      <c r="C171" s="96"/>
      <c r="D171" s="96"/>
      <c r="E171" s="96"/>
      <c r="F171" s="96"/>
      <c r="G171" s="96"/>
      <c r="H171" s="96"/>
      <c r="I171" s="96"/>
      <c r="J171" s="93"/>
      <c r="K171" s="93"/>
      <c r="L171" s="94"/>
      <c r="M171" s="95"/>
      <c r="N171" s="96"/>
      <c r="O171" s="96"/>
      <c r="P171" s="96"/>
      <c r="Q171" s="96"/>
      <c r="R171" s="96"/>
      <c r="S171" s="96"/>
      <c r="T171" s="96"/>
      <c r="U171" s="97">
        <f t="shared" ref="U171:U180" si="95">J171</f>
        <v>0</v>
      </c>
      <c r="V171" s="93"/>
      <c r="W171" s="94"/>
    </row>
    <row r="172" spans="2:23" ht="18" customHeight="1" x14ac:dyDescent="0.4">
      <c r="B172" s="102"/>
      <c r="C172" s="103"/>
      <c r="D172" s="103"/>
      <c r="E172" s="103"/>
      <c r="F172" s="103"/>
      <c r="G172" s="103"/>
      <c r="H172" s="103"/>
      <c r="I172" s="103"/>
      <c r="J172" s="100"/>
      <c r="K172" s="100"/>
      <c r="L172" s="101"/>
      <c r="M172" s="102"/>
      <c r="N172" s="103"/>
      <c r="O172" s="103"/>
      <c r="P172" s="103"/>
      <c r="Q172" s="103"/>
      <c r="R172" s="103"/>
      <c r="S172" s="103"/>
      <c r="T172" s="103"/>
      <c r="U172" s="104">
        <f t="shared" si="95"/>
        <v>0</v>
      </c>
      <c r="V172" s="100"/>
      <c r="W172" s="101"/>
    </row>
    <row r="173" spans="2:23" ht="18" customHeight="1" x14ac:dyDescent="0.4">
      <c r="B173" s="102"/>
      <c r="C173" s="103"/>
      <c r="D173" s="103"/>
      <c r="E173" s="103"/>
      <c r="F173" s="103"/>
      <c r="G173" s="103"/>
      <c r="H173" s="103"/>
      <c r="I173" s="103"/>
      <c r="J173" s="100"/>
      <c r="K173" s="100"/>
      <c r="L173" s="101"/>
      <c r="M173" s="102"/>
      <c r="N173" s="103"/>
      <c r="O173" s="103"/>
      <c r="P173" s="103"/>
      <c r="Q173" s="103"/>
      <c r="R173" s="103"/>
      <c r="S173" s="103"/>
      <c r="T173" s="103"/>
      <c r="U173" s="104">
        <f t="shared" si="95"/>
        <v>0</v>
      </c>
      <c r="V173" s="100"/>
      <c r="W173" s="101"/>
    </row>
    <row r="174" spans="2:23" ht="18" customHeight="1" x14ac:dyDescent="0.4">
      <c r="B174" s="102"/>
      <c r="C174" s="103"/>
      <c r="D174" s="103"/>
      <c r="E174" s="103"/>
      <c r="F174" s="103"/>
      <c r="G174" s="103"/>
      <c r="H174" s="103"/>
      <c r="I174" s="103"/>
      <c r="J174" s="100"/>
      <c r="K174" s="100"/>
      <c r="L174" s="101"/>
      <c r="M174" s="102"/>
      <c r="N174" s="103"/>
      <c r="O174" s="103"/>
      <c r="P174" s="103"/>
      <c r="Q174" s="103"/>
      <c r="R174" s="103"/>
      <c r="S174" s="103"/>
      <c r="T174" s="103"/>
      <c r="U174" s="104">
        <f t="shared" si="95"/>
        <v>0</v>
      </c>
      <c r="V174" s="100"/>
      <c r="W174" s="101"/>
    </row>
    <row r="175" spans="2:23" ht="18" customHeight="1" x14ac:dyDescent="0.4">
      <c r="B175" s="102"/>
      <c r="C175" s="103"/>
      <c r="D175" s="103"/>
      <c r="E175" s="103"/>
      <c r="F175" s="103"/>
      <c r="G175" s="103"/>
      <c r="H175" s="103"/>
      <c r="I175" s="103"/>
      <c r="J175" s="100"/>
      <c r="K175" s="100"/>
      <c r="L175" s="101"/>
      <c r="M175" s="102"/>
      <c r="N175" s="103"/>
      <c r="O175" s="103"/>
      <c r="P175" s="103"/>
      <c r="Q175" s="103"/>
      <c r="R175" s="103"/>
      <c r="S175" s="103"/>
      <c r="T175" s="103"/>
      <c r="U175" s="104">
        <f t="shared" si="95"/>
        <v>0</v>
      </c>
      <c r="V175" s="100"/>
      <c r="W175" s="101"/>
    </row>
    <row r="176" spans="2:23" ht="18" customHeight="1" x14ac:dyDescent="0.4">
      <c r="B176" s="102"/>
      <c r="C176" s="103"/>
      <c r="D176" s="103"/>
      <c r="E176" s="103"/>
      <c r="F176" s="103"/>
      <c r="G176" s="103"/>
      <c r="H176" s="103"/>
      <c r="I176" s="103"/>
      <c r="J176" s="100"/>
      <c r="K176" s="100"/>
      <c r="L176" s="101"/>
      <c r="M176" s="102"/>
      <c r="N176" s="103"/>
      <c r="O176" s="103"/>
      <c r="P176" s="103"/>
      <c r="Q176" s="103"/>
      <c r="R176" s="103"/>
      <c r="S176" s="103"/>
      <c r="T176" s="103"/>
      <c r="U176" s="104">
        <f t="shared" si="95"/>
        <v>0</v>
      </c>
      <c r="V176" s="100"/>
      <c r="W176" s="101"/>
    </row>
    <row r="177" spans="2:23" ht="18" customHeight="1" x14ac:dyDescent="0.4">
      <c r="B177" s="102"/>
      <c r="C177" s="103"/>
      <c r="D177" s="103"/>
      <c r="E177" s="103"/>
      <c r="F177" s="103"/>
      <c r="G177" s="103"/>
      <c r="H177" s="103"/>
      <c r="I177" s="103"/>
      <c r="J177" s="100"/>
      <c r="K177" s="100"/>
      <c r="L177" s="101"/>
      <c r="M177" s="102"/>
      <c r="N177" s="103"/>
      <c r="O177" s="103"/>
      <c r="P177" s="103"/>
      <c r="Q177" s="103"/>
      <c r="R177" s="103"/>
      <c r="S177" s="103"/>
      <c r="T177" s="103"/>
      <c r="U177" s="104">
        <f t="shared" si="95"/>
        <v>0</v>
      </c>
      <c r="V177" s="100"/>
      <c r="W177" s="101"/>
    </row>
    <row r="178" spans="2:23" ht="18" customHeight="1" x14ac:dyDescent="0.4">
      <c r="B178" s="102"/>
      <c r="C178" s="103"/>
      <c r="D178" s="103"/>
      <c r="E178" s="103"/>
      <c r="F178" s="103"/>
      <c r="G178" s="103"/>
      <c r="H178" s="103"/>
      <c r="I178" s="103"/>
      <c r="J178" s="100"/>
      <c r="K178" s="100"/>
      <c r="L178" s="101"/>
      <c r="M178" s="102"/>
      <c r="N178" s="103"/>
      <c r="O178" s="103"/>
      <c r="P178" s="103"/>
      <c r="Q178" s="103"/>
      <c r="R178" s="103"/>
      <c r="S178" s="103"/>
      <c r="T178" s="103"/>
      <c r="U178" s="104">
        <f t="shared" si="95"/>
        <v>0</v>
      </c>
      <c r="V178" s="100"/>
      <c r="W178" s="101"/>
    </row>
    <row r="179" spans="2:23" ht="18" customHeight="1" x14ac:dyDescent="0.4">
      <c r="B179" s="102"/>
      <c r="C179" s="103"/>
      <c r="D179" s="103"/>
      <c r="E179" s="103"/>
      <c r="F179" s="103"/>
      <c r="G179" s="103"/>
      <c r="H179" s="103"/>
      <c r="I179" s="103"/>
      <c r="J179" s="100"/>
      <c r="K179" s="100"/>
      <c r="L179" s="101"/>
      <c r="M179" s="102"/>
      <c r="N179" s="103"/>
      <c r="O179" s="103"/>
      <c r="P179" s="103"/>
      <c r="Q179" s="103"/>
      <c r="R179" s="103"/>
      <c r="S179" s="103"/>
      <c r="T179" s="103"/>
      <c r="U179" s="104">
        <f t="shared" si="95"/>
        <v>0</v>
      </c>
      <c r="V179" s="100"/>
      <c r="W179" s="101"/>
    </row>
    <row r="180" spans="2:23" ht="18" customHeight="1" x14ac:dyDescent="0.4">
      <c r="B180" s="109"/>
      <c r="C180" s="110"/>
      <c r="D180" s="110"/>
      <c r="E180" s="110"/>
      <c r="F180" s="110"/>
      <c r="G180" s="110"/>
      <c r="H180" s="110"/>
      <c r="I180" s="110"/>
      <c r="J180" s="107"/>
      <c r="K180" s="107"/>
      <c r="L180" s="108"/>
      <c r="M180" s="109"/>
      <c r="N180" s="110"/>
      <c r="O180" s="110"/>
      <c r="P180" s="110"/>
      <c r="Q180" s="110"/>
      <c r="R180" s="110"/>
      <c r="S180" s="110"/>
      <c r="T180" s="110"/>
      <c r="U180" s="111">
        <f t="shared" si="95"/>
        <v>0</v>
      </c>
      <c r="V180" s="107"/>
      <c r="W180" s="108"/>
    </row>
    <row r="181" spans="2:23" ht="18" customHeight="1" x14ac:dyDescent="0.4">
      <c r="B181" s="86"/>
      <c r="C181" s="87"/>
      <c r="D181" s="87"/>
      <c r="E181" s="87"/>
      <c r="F181" s="87"/>
      <c r="G181" s="87"/>
      <c r="H181" s="87"/>
      <c r="I181" s="87"/>
      <c r="J181" s="88" t="s">
        <v>105</v>
      </c>
      <c r="K181" s="87"/>
      <c r="L181" s="89"/>
      <c r="M181" s="90">
        <f>B181</f>
        <v>0</v>
      </c>
      <c r="N181" s="87"/>
      <c r="O181" s="87"/>
      <c r="P181" s="87"/>
      <c r="Q181" s="87"/>
      <c r="R181" s="87"/>
      <c r="S181" s="87"/>
      <c r="T181" s="87"/>
      <c r="U181" s="88" t="s">
        <v>105</v>
      </c>
      <c r="V181" s="87"/>
      <c r="W181" s="89"/>
    </row>
    <row r="182" spans="2:23" ht="18" customHeight="1" x14ac:dyDescent="0.4">
      <c r="B182" s="95"/>
      <c r="C182" s="96"/>
      <c r="D182" s="96"/>
      <c r="E182" s="96"/>
      <c r="F182" s="96"/>
      <c r="G182" s="96"/>
      <c r="H182" s="96"/>
      <c r="I182" s="96"/>
      <c r="J182" s="93"/>
      <c r="K182" s="93"/>
      <c r="L182" s="94"/>
      <c r="M182" s="95"/>
      <c r="N182" s="96"/>
      <c r="O182" s="96"/>
      <c r="P182" s="96"/>
      <c r="Q182" s="96"/>
      <c r="R182" s="96"/>
      <c r="S182" s="96"/>
      <c r="T182" s="96"/>
      <c r="U182" s="97">
        <f t="shared" ref="U182:U191" si="96">J182</f>
        <v>0</v>
      </c>
      <c r="V182" s="93"/>
      <c r="W182" s="94"/>
    </row>
    <row r="183" spans="2:23" ht="18" customHeight="1" x14ac:dyDescent="0.4">
      <c r="B183" s="102"/>
      <c r="C183" s="103"/>
      <c r="D183" s="103"/>
      <c r="E183" s="103"/>
      <c r="F183" s="103"/>
      <c r="G183" s="103"/>
      <c r="H183" s="103"/>
      <c r="I183" s="103"/>
      <c r="J183" s="100"/>
      <c r="K183" s="100"/>
      <c r="L183" s="101"/>
      <c r="M183" s="102"/>
      <c r="N183" s="103"/>
      <c r="O183" s="103"/>
      <c r="P183" s="103"/>
      <c r="Q183" s="103"/>
      <c r="R183" s="103"/>
      <c r="S183" s="103"/>
      <c r="T183" s="103"/>
      <c r="U183" s="104">
        <f t="shared" si="96"/>
        <v>0</v>
      </c>
      <c r="V183" s="100"/>
      <c r="W183" s="101"/>
    </row>
    <row r="184" spans="2:23" ht="18" customHeight="1" x14ac:dyDescent="0.4">
      <c r="B184" s="102"/>
      <c r="C184" s="103"/>
      <c r="D184" s="103"/>
      <c r="E184" s="103"/>
      <c r="F184" s="103"/>
      <c r="G184" s="103"/>
      <c r="H184" s="103"/>
      <c r="I184" s="103"/>
      <c r="J184" s="100"/>
      <c r="K184" s="100"/>
      <c r="L184" s="101"/>
      <c r="M184" s="102"/>
      <c r="N184" s="103"/>
      <c r="O184" s="103"/>
      <c r="P184" s="103"/>
      <c r="Q184" s="103"/>
      <c r="R184" s="103"/>
      <c r="S184" s="103"/>
      <c r="T184" s="103"/>
      <c r="U184" s="104">
        <f t="shared" si="96"/>
        <v>0</v>
      </c>
      <c r="V184" s="100"/>
      <c r="W184" s="101"/>
    </row>
    <row r="185" spans="2:23" ht="18" customHeight="1" x14ac:dyDescent="0.4">
      <c r="B185" s="102"/>
      <c r="C185" s="103"/>
      <c r="D185" s="103"/>
      <c r="E185" s="103"/>
      <c r="F185" s="103"/>
      <c r="G185" s="103"/>
      <c r="H185" s="103"/>
      <c r="I185" s="103"/>
      <c r="J185" s="100"/>
      <c r="K185" s="100"/>
      <c r="L185" s="101"/>
      <c r="M185" s="102"/>
      <c r="N185" s="103"/>
      <c r="O185" s="103"/>
      <c r="P185" s="103"/>
      <c r="Q185" s="103"/>
      <c r="R185" s="103"/>
      <c r="S185" s="103"/>
      <c r="T185" s="103"/>
      <c r="U185" s="104">
        <f t="shared" si="96"/>
        <v>0</v>
      </c>
      <c r="V185" s="100"/>
      <c r="W185" s="101"/>
    </row>
    <row r="186" spans="2:23" ht="18" customHeight="1" x14ac:dyDescent="0.4">
      <c r="B186" s="102"/>
      <c r="C186" s="103"/>
      <c r="D186" s="103"/>
      <c r="E186" s="103"/>
      <c r="F186" s="103"/>
      <c r="G186" s="103"/>
      <c r="H186" s="103"/>
      <c r="I186" s="103"/>
      <c r="J186" s="100"/>
      <c r="K186" s="100"/>
      <c r="L186" s="101"/>
      <c r="M186" s="102"/>
      <c r="N186" s="103"/>
      <c r="O186" s="103"/>
      <c r="P186" s="103"/>
      <c r="Q186" s="103"/>
      <c r="R186" s="103"/>
      <c r="S186" s="103"/>
      <c r="T186" s="103"/>
      <c r="U186" s="104">
        <f t="shared" si="96"/>
        <v>0</v>
      </c>
      <c r="V186" s="100"/>
      <c r="W186" s="101"/>
    </row>
    <row r="187" spans="2:23" ht="18" customHeight="1" x14ac:dyDescent="0.4">
      <c r="B187" s="102"/>
      <c r="C187" s="103"/>
      <c r="D187" s="103"/>
      <c r="E187" s="103"/>
      <c r="F187" s="103"/>
      <c r="G187" s="103"/>
      <c r="H187" s="103"/>
      <c r="I187" s="103"/>
      <c r="J187" s="100"/>
      <c r="K187" s="100"/>
      <c r="L187" s="101"/>
      <c r="M187" s="102"/>
      <c r="N187" s="103"/>
      <c r="O187" s="103"/>
      <c r="P187" s="103"/>
      <c r="Q187" s="103"/>
      <c r="R187" s="103"/>
      <c r="S187" s="103"/>
      <c r="T187" s="103"/>
      <c r="U187" s="104">
        <f t="shared" si="96"/>
        <v>0</v>
      </c>
      <c r="V187" s="100"/>
      <c r="W187" s="101"/>
    </row>
    <row r="188" spans="2:23" ht="18" customHeight="1" x14ac:dyDescent="0.4">
      <c r="B188" s="102"/>
      <c r="C188" s="103"/>
      <c r="D188" s="103"/>
      <c r="E188" s="103"/>
      <c r="F188" s="103"/>
      <c r="G188" s="103"/>
      <c r="H188" s="103"/>
      <c r="I188" s="103"/>
      <c r="J188" s="100"/>
      <c r="K188" s="100"/>
      <c r="L188" s="101"/>
      <c r="M188" s="102"/>
      <c r="N188" s="103"/>
      <c r="O188" s="103"/>
      <c r="P188" s="103"/>
      <c r="Q188" s="103"/>
      <c r="R188" s="103"/>
      <c r="S188" s="103"/>
      <c r="T188" s="103"/>
      <c r="U188" s="104">
        <f t="shared" si="96"/>
        <v>0</v>
      </c>
      <c r="V188" s="100"/>
      <c r="W188" s="101"/>
    </row>
    <row r="189" spans="2:23" ht="18" customHeight="1" x14ac:dyDescent="0.4">
      <c r="B189" s="102"/>
      <c r="C189" s="103"/>
      <c r="D189" s="103"/>
      <c r="E189" s="103"/>
      <c r="F189" s="103"/>
      <c r="G189" s="103"/>
      <c r="H189" s="103"/>
      <c r="I189" s="103"/>
      <c r="J189" s="100"/>
      <c r="K189" s="100"/>
      <c r="L189" s="101"/>
      <c r="M189" s="102"/>
      <c r="N189" s="103"/>
      <c r="O189" s="103"/>
      <c r="P189" s="103"/>
      <c r="Q189" s="103"/>
      <c r="R189" s="103"/>
      <c r="S189" s="103"/>
      <c r="T189" s="103"/>
      <c r="U189" s="104">
        <f t="shared" si="96"/>
        <v>0</v>
      </c>
      <c r="V189" s="100"/>
      <c r="W189" s="101"/>
    </row>
    <row r="190" spans="2:23" ht="18" customHeight="1" x14ac:dyDescent="0.4">
      <c r="B190" s="102"/>
      <c r="C190" s="103"/>
      <c r="D190" s="103"/>
      <c r="E190" s="103"/>
      <c r="F190" s="103"/>
      <c r="G190" s="103"/>
      <c r="H190" s="103"/>
      <c r="I190" s="103"/>
      <c r="J190" s="100"/>
      <c r="K190" s="100"/>
      <c r="L190" s="101"/>
      <c r="M190" s="102"/>
      <c r="N190" s="103"/>
      <c r="O190" s="103"/>
      <c r="P190" s="103"/>
      <c r="Q190" s="103"/>
      <c r="R190" s="103"/>
      <c r="S190" s="103"/>
      <c r="T190" s="103"/>
      <c r="U190" s="104">
        <f t="shared" si="96"/>
        <v>0</v>
      </c>
      <c r="V190" s="100"/>
      <c r="W190" s="101"/>
    </row>
    <row r="191" spans="2:23" ht="18" customHeight="1" x14ac:dyDescent="0.4">
      <c r="B191" s="109"/>
      <c r="C191" s="110"/>
      <c r="D191" s="110"/>
      <c r="E191" s="110"/>
      <c r="F191" s="110"/>
      <c r="G191" s="110"/>
      <c r="H191" s="110"/>
      <c r="I191" s="110"/>
      <c r="J191" s="107"/>
      <c r="K191" s="107"/>
      <c r="L191" s="108"/>
      <c r="M191" s="109"/>
      <c r="N191" s="110"/>
      <c r="O191" s="110"/>
      <c r="P191" s="110"/>
      <c r="Q191" s="110"/>
      <c r="R191" s="110"/>
      <c r="S191" s="110"/>
      <c r="T191" s="110"/>
      <c r="U191" s="111">
        <f t="shared" si="96"/>
        <v>0</v>
      </c>
      <c r="V191" s="107"/>
      <c r="W191" s="108"/>
    </row>
    <row r="192" spans="2:23" ht="18" customHeight="1" x14ac:dyDescent="0.4">
      <c r="B192" s="86"/>
      <c r="C192" s="87"/>
      <c r="D192" s="87"/>
      <c r="E192" s="87"/>
      <c r="F192" s="87"/>
      <c r="G192" s="87"/>
      <c r="H192" s="87"/>
      <c r="I192" s="87"/>
      <c r="J192" s="88" t="s">
        <v>105</v>
      </c>
      <c r="K192" s="87"/>
      <c r="L192" s="89"/>
      <c r="M192" s="90">
        <f>B192</f>
        <v>0</v>
      </c>
      <c r="N192" s="87"/>
      <c r="O192" s="87"/>
      <c r="P192" s="87"/>
      <c r="Q192" s="87"/>
      <c r="R192" s="87"/>
      <c r="S192" s="87"/>
      <c r="T192" s="87"/>
      <c r="U192" s="88" t="s">
        <v>105</v>
      </c>
      <c r="V192" s="87"/>
      <c r="W192" s="89"/>
    </row>
    <row r="193" spans="2:23" ht="18" customHeight="1" x14ac:dyDescent="0.4">
      <c r="B193" s="95"/>
      <c r="C193" s="96"/>
      <c r="D193" s="96"/>
      <c r="E193" s="96"/>
      <c r="F193" s="96"/>
      <c r="G193" s="96"/>
      <c r="H193" s="96"/>
      <c r="I193" s="96"/>
      <c r="J193" s="93"/>
      <c r="K193" s="93"/>
      <c r="L193" s="94"/>
      <c r="M193" s="95"/>
      <c r="N193" s="96"/>
      <c r="O193" s="96"/>
      <c r="P193" s="96"/>
      <c r="Q193" s="96"/>
      <c r="R193" s="96"/>
      <c r="S193" s="96"/>
      <c r="T193" s="96"/>
      <c r="U193" s="97">
        <f t="shared" ref="U193:U202" si="97">J193</f>
        <v>0</v>
      </c>
      <c r="V193" s="93"/>
      <c r="W193" s="94"/>
    </row>
    <row r="194" spans="2:23" ht="18" customHeight="1" x14ac:dyDescent="0.4">
      <c r="B194" s="102"/>
      <c r="C194" s="103"/>
      <c r="D194" s="103"/>
      <c r="E194" s="103"/>
      <c r="F194" s="103"/>
      <c r="G194" s="103"/>
      <c r="H194" s="103"/>
      <c r="I194" s="103"/>
      <c r="J194" s="100"/>
      <c r="K194" s="100"/>
      <c r="L194" s="101"/>
      <c r="M194" s="102"/>
      <c r="N194" s="103"/>
      <c r="O194" s="103"/>
      <c r="P194" s="103"/>
      <c r="Q194" s="103"/>
      <c r="R194" s="103"/>
      <c r="S194" s="103"/>
      <c r="T194" s="103"/>
      <c r="U194" s="104">
        <f t="shared" si="97"/>
        <v>0</v>
      </c>
      <c r="V194" s="100"/>
      <c r="W194" s="101"/>
    </row>
    <row r="195" spans="2:23" ht="18" customHeight="1" x14ac:dyDescent="0.4">
      <c r="B195" s="102"/>
      <c r="C195" s="103"/>
      <c r="D195" s="103"/>
      <c r="E195" s="103"/>
      <c r="F195" s="103"/>
      <c r="G195" s="103"/>
      <c r="H195" s="103"/>
      <c r="I195" s="103"/>
      <c r="J195" s="100"/>
      <c r="K195" s="100"/>
      <c r="L195" s="101"/>
      <c r="M195" s="102"/>
      <c r="N195" s="103"/>
      <c r="O195" s="103"/>
      <c r="P195" s="103"/>
      <c r="Q195" s="103"/>
      <c r="R195" s="103"/>
      <c r="S195" s="103"/>
      <c r="T195" s="103"/>
      <c r="U195" s="104">
        <f t="shared" si="97"/>
        <v>0</v>
      </c>
      <c r="V195" s="100"/>
      <c r="W195" s="101"/>
    </row>
    <row r="196" spans="2:23" ht="18" customHeight="1" x14ac:dyDescent="0.4">
      <c r="B196" s="102"/>
      <c r="C196" s="103"/>
      <c r="D196" s="103"/>
      <c r="E196" s="103"/>
      <c r="F196" s="103"/>
      <c r="G196" s="103"/>
      <c r="H196" s="103"/>
      <c r="I196" s="103"/>
      <c r="J196" s="100"/>
      <c r="K196" s="100"/>
      <c r="L196" s="101"/>
      <c r="M196" s="102"/>
      <c r="N196" s="103"/>
      <c r="O196" s="103"/>
      <c r="P196" s="103"/>
      <c r="Q196" s="103"/>
      <c r="R196" s="103"/>
      <c r="S196" s="103"/>
      <c r="T196" s="103"/>
      <c r="U196" s="104">
        <f t="shared" si="97"/>
        <v>0</v>
      </c>
      <c r="V196" s="100"/>
      <c r="W196" s="101"/>
    </row>
    <row r="197" spans="2:23" ht="18" customHeight="1" x14ac:dyDescent="0.4">
      <c r="B197" s="102"/>
      <c r="C197" s="103"/>
      <c r="D197" s="103"/>
      <c r="E197" s="103"/>
      <c r="F197" s="103"/>
      <c r="G197" s="103"/>
      <c r="H197" s="103"/>
      <c r="I197" s="103"/>
      <c r="J197" s="100"/>
      <c r="K197" s="100"/>
      <c r="L197" s="101"/>
      <c r="M197" s="102"/>
      <c r="N197" s="103"/>
      <c r="O197" s="103"/>
      <c r="P197" s="103"/>
      <c r="Q197" s="103"/>
      <c r="R197" s="103"/>
      <c r="S197" s="103"/>
      <c r="T197" s="103"/>
      <c r="U197" s="104">
        <f t="shared" si="97"/>
        <v>0</v>
      </c>
      <c r="V197" s="100"/>
      <c r="W197" s="101"/>
    </row>
    <row r="198" spans="2:23" ht="18" customHeight="1" x14ac:dyDescent="0.4">
      <c r="B198" s="102"/>
      <c r="C198" s="103"/>
      <c r="D198" s="103"/>
      <c r="E198" s="103"/>
      <c r="F198" s="103"/>
      <c r="G198" s="103"/>
      <c r="H198" s="103"/>
      <c r="I198" s="103"/>
      <c r="J198" s="100"/>
      <c r="K198" s="100"/>
      <c r="L198" s="101"/>
      <c r="M198" s="102"/>
      <c r="N198" s="103"/>
      <c r="O198" s="103"/>
      <c r="P198" s="103"/>
      <c r="Q198" s="103"/>
      <c r="R198" s="103"/>
      <c r="S198" s="103"/>
      <c r="T198" s="103"/>
      <c r="U198" s="104">
        <f t="shared" si="97"/>
        <v>0</v>
      </c>
      <c r="V198" s="100"/>
      <c r="W198" s="101"/>
    </row>
    <row r="199" spans="2:23" ht="18" customHeight="1" x14ac:dyDescent="0.4">
      <c r="B199" s="102"/>
      <c r="C199" s="103"/>
      <c r="D199" s="103"/>
      <c r="E199" s="103"/>
      <c r="F199" s="103"/>
      <c r="G199" s="103"/>
      <c r="H199" s="103"/>
      <c r="I199" s="103"/>
      <c r="J199" s="100"/>
      <c r="K199" s="100"/>
      <c r="L199" s="101"/>
      <c r="M199" s="102"/>
      <c r="N199" s="103"/>
      <c r="O199" s="103"/>
      <c r="P199" s="103"/>
      <c r="Q199" s="103"/>
      <c r="R199" s="103"/>
      <c r="S199" s="103"/>
      <c r="T199" s="103"/>
      <c r="U199" s="104">
        <f t="shared" si="97"/>
        <v>0</v>
      </c>
      <c r="V199" s="100"/>
      <c r="W199" s="101"/>
    </row>
    <row r="200" spans="2:23" ht="18" customHeight="1" x14ac:dyDescent="0.4">
      <c r="B200" s="102"/>
      <c r="C200" s="103"/>
      <c r="D200" s="103"/>
      <c r="E200" s="103"/>
      <c r="F200" s="103"/>
      <c r="G200" s="103"/>
      <c r="H200" s="103"/>
      <c r="I200" s="103"/>
      <c r="J200" s="100"/>
      <c r="K200" s="100"/>
      <c r="L200" s="101"/>
      <c r="M200" s="102"/>
      <c r="N200" s="103"/>
      <c r="O200" s="103"/>
      <c r="P200" s="103"/>
      <c r="Q200" s="103"/>
      <c r="R200" s="103"/>
      <c r="S200" s="103"/>
      <c r="T200" s="103"/>
      <c r="U200" s="104">
        <f t="shared" si="97"/>
        <v>0</v>
      </c>
      <c r="V200" s="100"/>
      <c r="W200" s="101"/>
    </row>
    <row r="201" spans="2:23" ht="18" customHeight="1" x14ac:dyDescent="0.4">
      <c r="B201" s="102"/>
      <c r="C201" s="103"/>
      <c r="D201" s="103"/>
      <c r="E201" s="103"/>
      <c r="F201" s="103"/>
      <c r="G201" s="103"/>
      <c r="H201" s="103"/>
      <c r="I201" s="103"/>
      <c r="J201" s="100"/>
      <c r="K201" s="100"/>
      <c r="L201" s="101"/>
      <c r="M201" s="102"/>
      <c r="N201" s="103"/>
      <c r="O201" s="103"/>
      <c r="P201" s="103"/>
      <c r="Q201" s="103"/>
      <c r="R201" s="103"/>
      <c r="S201" s="103"/>
      <c r="T201" s="103"/>
      <c r="U201" s="104">
        <f t="shared" si="97"/>
        <v>0</v>
      </c>
      <c r="V201" s="100"/>
      <c r="W201" s="101"/>
    </row>
    <row r="202" spans="2:23" ht="18" customHeight="1" x14ac:dyDescent="0.4">
      <c r="B202" s="109"/>
      <c r="C202" s="110"/>
      <c r="D202" s="110"/>
      <c r="E202" s="110"/>
      <c r="F202" s="110"/>
      <c r="G202" s="110"/>
      <c r="H202" s="110"/>
      <c r="I202" s="110"/>
      <c r="J202" s="107"/>
      <c r="K202" s="107"/>
      <c r="L202" s="108"/>
      <c r="M202" s="109"/>
      <c r="N202" s="110"/>
      <c r="O202" s="110"/>
      <c r="P202" s="110"/>
      <c r="Q202" s="110"/>
      <c r="R202" s="110"/>
      <c r="S202" s="110"/>
      <c r="T202" s="110"/>
      <c r="U202" s="111">
        <f t="shared" si="97"/>
        <v>0</v>
      </c>
      <c r="V202" s="107"/>
      <c r="W202" s="108"/>
    </row>
    <row r="203" spans="2:23" ht="18" customHeight="1" x14ac:dyDescent="0.4">
      <c r="B203" s="86"/>
      <c r="C203" s="87"/>
      <c r="D203" s="87"/>
      <c r="E203" s="87"/>
      <c r="F203" s="87"/>
      <c r="G203" s="87"/>
      <c r="H203" s="87"/>
      <c r="I203" s="87"/>
      <c r="J203" s="88" t="s">
        <v>105</v>
      </c>
      <c r="K203" s="87"/>
      <c r="L203" s="89"/>
      <c r="M203" s="90">
        <f>B203</f>
        <v>0</v>
      </c>
      <c r="N203" s="87"/>
      <c r="O203" s="87"/>
      <c r="P203" s="87"/>
      <c r="Q203" s="87"/>
      <c r="R203" s="87"/>
      <c r="S203" s="87"/>
      <c r="T203" s="87"/>
      <c r="U203" s="88" t="s">
        <v>105</v>
      </c>
      <c r="V203" s="87"/>
      <c r="W203" s="89"/>
    </row>
    <row r="204" spans="2:23" ht="18" customHeight="1" x14ac:dyDescent="0.4">
      <c r="B204" s="95"/>
      <c r="C204" s="96"/>
      <c r="D204" s="96"/>
      <c r="E204" s="96"/>
      <c r="F204" s="96"/>
      <c r="G204" s="96"/>
      <c r="H204" s="96"/>
      <c r="I204" s="96"/>
      <c r="J204" s="93"/>
      <c r="K204" s="93"/>
      <c r="L204" s="94"/>
      <c r="M204" s="95"/>
      <c r="N204" s="96"/>
      <c r="O204" s="96"/>
      <c r="P204" s="96"/>
      <c r="Q204" s="96"/>
      <c r="R204" s="96"/>
      <c r="S204" s="96"/>
      <c r="T204" s="96"/>
      <c r="U204" s="97">
        <f t="shared" ref="U204:U213" si="98">J204</f>
        <v>0</v>
      </c>
      <c r="V204" s="93"/>
      <c r="W204" s="94"/>
    </row>
    <row r="205" spans="2:23" ht="18" customHeight="1" x14ac:dyDescent="0.4">
      <c r="B205" s="102"/>
      <c r="C205" s="103"/>
      <c r="D205" s="103"/>
      <c r="E205" s="103"/>
      <c r="F205" s="103"/>
      <c r="G205" s="103"/>
      <c r="H205" s="103"/>
      <c r="I205" s="103"/>
      <c r="J205" s="100"/>
      <c r="K205" s="100"/>
      <c r="L205" s="101"/>
      <c r="M205" s="102"/>
      <c r="N205" s="103"/>
      <c r="O205" s="103"/>
      <c r="P205" s="103"/>
      <c r="Q205" s="103"/>
      <c r="R205" s="103"/>
      <c r="S205" s="103"/>
      <c r="T205" s="103"/>
      <c r="U205" s="104">
        <f t="shared" si="98"/>
        <v>0</v>
      </c>
      <c r="V205" s="100"/>
      <c r="W205" s="101"/>
    </row>
    <row r="206" spans="2:23" ht="18" customHeight="1" x14ac:dyDescent="0.4">
      <c r="B206" s="102"/>
      <c r="C206" s="103"/>
      <c r="D206" s="103"/>
      <c r="E206" s="103"/>
      <c r="F206" s="103"/>
      <c r="G206" s="103"/>
      <c r="H206" s="103"/>
      <c r="I206" s="103"/>
      <c r="J206" s="100"/>
      <c r="K206" s="100"/>
      <c r="L206" s="101"/>
      <c r="M206" s="102"/>
      <c r="N206" s="103"/>
      <c r="O206" s="103"/>
      <c r="P206" s="103"/>
      <c r="Q206" s="103"/>
      <c r="R206" s="103"/>
      <c r="S206" s="103"/>
      <c r="T206" s="103"/>
      <c r="U206" s="104">
        <f t="shared" si="98"/>
        <v>0</v>
      </c>
      <c r="V206" s="100"/>
      <c r="W206" s="101"/>
    </row>
    <row r="207" spans="2:23" ht="18" customHeight="1" x14ac:dyDescent="0.4">
      <c r="B207" s="102"/>
      <c r="C207" s="103"/>
      <c r="D207" s="103"/>
      <c r="E207" s="103"/>
      <c r="F207" s="103"/>
      <c r="G207" s="103"/>
      <c r="H207" s="103"/>
      <c r="I207" s="103"/>
      <c r="J207" s="100"/>
      <c r="K207" s="100"/>
      <c r="L207" s="101"/>
      <c r="M207" s="102"/>
      <c r="N207" s="103"/>
      <c r="O207" s="103"/>
      <c r="P207" s="103"/>
      <c r="Q207" s="103"/>
      <c r="R207" s="103"/>
      <c r="S207" s="103"/>
      <c r="T207" s="103"/>
      <c r="U207" s="104">
        <f t="shared" si="98"/>
        <v>0</v>
      </c>
      <c r="V207" s="100"/>
      <c r="W207" s="101"/>
    </row>
    <row r="208" spans="2:23" ht="18" customHeight="1" x14ac:dyDescent="0.4">
      <c r="B208" s="102"/>
      <c r="C208" s="103"/>
      <c r="D208" s="103"/>
      <c r="E208" s="103"/>
      <c r="F208" s="103"/>
      <c r="G208" s="103"/>
      <c r="H208" s="103"/>
      <c r="I208" s="103"/>
      <c r="J208" s="100"/>
      <c r="K208" s="100"/>
      <c r="L208" s="101"/>
      <c r="M208" s="102"/>
      <c r="N208" s="103"/>
      <c r="O208" s="103"/>
      <c r="P208" s="103"/>
      <c r="Q208" s="103"/>
      <c r="R208" s="103"/>
      <c r="S208" s="103"/>
      <c r="T208" s="103"/>
      <c r="U208" s="104">
        <f t="shared" si="98"/>
        <v>0</v>
      </c>
      <c r="V208" s="100"/>
      <c r="W208" s="101"/>
    </row>
    <row r="209" spans="2:23" ht="18" customHeight="1" x14ac:dyDescent="0.4">
      <c r="B209" s="102"/>
      <c r="C209" s="103"/>
      <c r="D209" s="103"/>
      <c r="E209" s="103"/>
      <c r="F209" s="103"/>
      <c r="G209" s="103"/>
      <c r="H209" s="103"/>
      <c r="I209" s="103"/>
      <c r="J209" s="100"/>
      <c r="K209" s="100"/>
      <c r="L209" s="101"/>
      <c r="M209" s="102"/>
      <c r="N209" s="103"/>
      <c r="O209" s="103"/>
      <c r="P209" s="103"/>
      <c r="Q209" s="103"/>
      <c r="R209" s="103"/>
      <c r="S209" s="103"/>
      <c r="T209" s="103"/>
      <c r="U209" s="104">
        <f t="shared" si="98"/>
        <v>0</v>
      </c>
      <c r="V209" s="100"/>
      <c r="W209" s="101"/>
    </row>
    <row r="210" spans="2:23" ht="18" customHeight="1" x14ac:dyDescent="0.4">
      <c r="B210" s="102"/>
      <c r="C210" s="103"/>
      <c r="D210" s="103"/>
      <c r="E210" s="103"/>
      <c r="F210" s="103"/>
      <c r="G210" s="103"/>
      <c r="H210" s="103"/>
      <c r="I210" s="103"/>
      <c r="J210" s="100"/>
      <c r="K210" s="100"/>
      <c r="L210" s="101"/>
      <c r="M210" s="102"/>
      <c r="N210" s="103"/>
      <c r="O210" s="103"/>
      <c r="P210" s="103"/>
      <c r="Q210" s="103"/>
      <c r="R210" s="103"/>
      <c r="S210" s="103"/>
      <c r="T210" s="103"/>
      <c r="U210" s="104">
        <f t="shared" si="98"/>
        <v>0</v>
      </c>
      <c r="V210" s="100"/>
      <c r="W210" s="101"/>
    </row>
    <row r="211" spans="2:23" ht="18" customHeight="1" x14ac:dyDescent="0.4">
      <c r="B211" s="102"/>
      <c r="C211" s="103"/>
      <c r="D211" s="103"/>
      <c r="E211" s="103"/>
      <c r="F211" s="103"/>
      <c r="G211" s="103"/>
      <c r="H211" s="103"/>
      <c r="I211" s="103"/>
      <c r="J211" s="100"/>
      <c r="K211" s="100"/>
      <c r="L211" s="101"/>
      <c r="M211" s="102"/>
      <c r="N211" s="103"/>
      <c r="O211" s="103"/>
      <c r="P211" s="103"/>
      <c r="Q211" s="103"/>
      <c r="R211" s="103"/>
      <c r="S211" s="103"/>
      <c r="T211" s="103"/>
      <c r="U211" s="104">
        <f t="shared" si="98"/>
        <v>0</v>
      </c>
      <c r="V211" s="100"/>
      <c r="W211" s="101"/>
    </row>
    <row r="212" spans="2:23" ht="18" customHeight="1" x14ac:dyDescent="0.4">
      <c r="B212" s="102"/>
      <c r="C212" s="103"/>
      <c r="D212" s="103"/>
      <c r="E212" s="103"/>
      <c r="F212" s="103"/>
      <c r="G212" s="103"/>
      <c r="H212" s="103"/>
      <c r="I212" s="103"/>
      <c r="J212" s="100"/>
      <c r="K212" s="100"/>
      <c r="L212" s="101"/>
      <c r="M212" s="102"/>
      <c r="N212" s="103"/>
      <c r="O212" s="103"/>
      <c r="P212" s="103"/>
      <c r="Q212" s="103"/>
      <c r="R212" s="103"/>
      <c r="S212" s="103"/>
      <c r="T212" s="103"/>
      <c r="U212" s="104">
        <f t="shared" si="98"/>
        <v>0</v>
      </c>
      <c r="V212" s="100"/>
      <c r="W212" s="101"/>
    </row>
    <row r="213" spans="2:23" ht="18" customHeight="1" x14ac:dyDescent="0.4">
      <c r="B213" s="109"/>
      <c r="C213" s="110"/>
      <c r="D213" s="110"/>
      <c r="E213" s="110"/>
      <c r="F213" s="110"/>
      <c r="G213" s="110"/>
      <c r="H213" s="110"/>
      <c r="I213" s="110"/>
      <c r="J213" s="107"/>
      <c r="K213" s="107"/>
      <c r="L213" s="108"/>
      <c r="M213" s="109"/>
      <c r="N213" s="110"/>
      <c r="O213" s="110"/>
      <c r="P213" s="110"/>
      <c r="Q213" s="110"/>
      <c r="R213" s="110"/>
      <c r="S213" s="110"/>
      <c r="T213" s="110"/>
      <c r="U213" s="111">
        <f t="shared" si="98"/>
        <v>0</v>
      </c>
      <c r="V213" s="107"/>
      <c r="W213" s="108"/>
    </row>
    <row r="214" spans="2:23" ht="18" customHeight="1" x14ac:dyDescent="0.4">
      <c r="B214" s="86"/>
      <c r="C214" s="87"/>
      <c r="D214" s="87"/>
      <c r="E214" s="87"/>
      <c r="F214" s="87"/>
      <c r="G214" s="87"/>
      <c r="H214" s="87"/>
      <c r="I214" s="87"/>
      <c r="J214" s="88" t="s">
        <v>105</v>
      </c>
      <c r="K214" s="87"/>
      <c r="L214" s="89"/>
      <c r="M214" s="90">
        <f>B214</f>
        <v>0</v>
      </c>
      <c r="N214" s="87"/>
      <c r="O214" s="87"/>
      <c r="P214" s="87"/>
      <c r="Q214" s="87"/>
      <c r="R214" s="87"/>
      <c r="S214" s="87"/>
      <c r="T214" s="87"/>
      <c r="U214" s="88" t="s">
        <v>105</v>
      </c>
      <c r="V214" s="87"/>
      <c r="W214" s="89"/>
    </row>
    <row r="215" spans="2:23" ht="18" customHeight="1" x14ac:dyDescent="0.4">
      <c r="B215" s="95"/>
      <c r="C215" s="96"/>
      <c r="D215" s="96"/>
      <c r="E215" s="96"/>
      <c r="F215" s="96"/>
      <c r="G215" s="96"/>
      <c r="H215" s="96"/>
      <c r="I215" s="96"/>
      <c r="J215" s="93"/>
      <c r="K215" s="93"/>
      <c r="L215" s="94"/>
      <c r="M215" s="95"/>
      <c r="N215" s="96"/>
      <c r="O215" s="96"/>
      <c r="P215" s="96"/>
      <c r="Q215" s="96"/>
      <c r="R215" s="96"/>
      <c r="S215" s="96"/>
      <c r="T215" s="96"/>
      <c r="U215" s="97">
        <f t="shared" ref="U215:U224" si="99">J215</f>
        <v>0</v>
      </c>
      <c r="V215" s="93"/>
      <c r="W215" s="94"/>
    </row>
    <row r="216" spans="2:23" ht="18" customHeight="1" x14ac:dyDescent="0.4">
      <c r="B216" s="102"/>
      <c r="C216" s="103"/>
      <c r="D216" s="103"/>
      <c r="E216" s="103"/>
      <c r="F216" s="103"/>
      <c r="G216" s="103"/>
      <c r="H216" s="103"/>
      <c r="I216" s="103"/>
      <c r="J216" s="100"/>
      <c r="K216" s="100"/>
      <c r="L216" s="101"/>
      <c r="M216" s="102"/>
      <c r="N216" s="103"/>
      <c r="O216" s="103"/>
      <c r="P216" s="103"/>
      <c r="Q216" s="103"/>
      <c r="R216" s="103"/>
      <c r="S216" s="103"/>
      <c r="T216" s="103"/>
      <c r="U216" s="104">
        <f t="shared" si="99"/>
        <v>0</v>
      </c>
      <c r="V216" s="100"/>
      <c r="W216" s="101"/>
    </row>
    <row r="217" spans="2:23" ht="18" customHeight="1" x14ac:dyDescent="0.4">
      <c r="B217" s="102"/>
      <c r="C217" s="103"/>
      <c r="D217" s="103"/>
      <c r="E217" s="103"/>
      <c r="F217" s="103"/>
      <c r="G217" s="103"/>
      <c r="H217" s="103"/>
      <c r="I217" s="103"/>
      <c r="J217" s="100"/>
      <c r="K217" s="100"/>
      <c r="L217" s="101"/>
      <c r="M217" s="102"/>
      <c r="N217" s="103"/>
      <c r="O217" s="103"/>
      <c r="P217" s="103"/>
      <c r="Q217" s="103"/>
      <c r="R217" s="103"/>
      <c r="S217" s="103"/>
      <c r="T217" s="103"/>
      <c r="U217" s="104">
        <f t="shared" si="99"/>
        <v>0</v>
      </c>
      <c r="V217" s="100"/>
      <c r="W217" s="101"/>
    </row>
    <row r="218" spans="2:23" ht="18" customHeight="1" x14ac:dyDescent="0.4">
      <c r="B218" s="102"/>
      <c r="C218" s="103"/>
      <c r="D218" s="103"/>
      <c r="E218" s="103"/>
      <c r="F218" s="103"/>
      <c r="G218" s="103"/>
      <c r="H218" s="103"/>
      <c r="I218" s="103"/>
      <c r="J218" s="100"/>
      <c r="K218" s="100"/>
      <c r="L218" s="101"/>
      <c r="M218" s="102"/>
      <c r="N218" s="103"/>
      <c r="O218" s="103"/>
      <c r="P218" s="103"/>
      <c r="Q218" s="103"/>
      <c r="R218" s="103"/>
      <c r="S218" s="103"/>
      <c r="T218" s="103"/>
      <c r="U218" s="104">
        <f t="shared" si="99"/>
        <v>0</v>
      </c>
      <c r="V218" s="100"/>
      <c r="W218" s="101"/>
    </row>
    <row r="219" spans="2:23" ht="18" customHeight="1" x14ac:dyDescent="0.4">
      <c r="B219" s="102"/>
      <c r="C219" s="103"/>
      <c r="D219" s="103"/>
      <c r="E219" s="103"/>
      <c r="F219" s="103"/>
      <c r="G219" s="103"/>
      <c r="H219" s="103"/>
      <c r="I219" s="103"/>
      <c r="J219" s="100"/>
      <c r="K219" s="100"/>
      <c r="L219" s="101"/>
      <c r="M219" s="102"/>
      <c r="N219" s="103"/>
      <c r="O219" s="103"/>
      <c r="P219" s="103"/>
      <c r="Q219" s="103"/>
      <c r="R219" s="103"/>
      <c r="S219" s="103"/>
      <c r="T219" s="103"/>
      <c r="U219" s="104">
        <f t="shared" si="99"/>
        <v>0</v>
      </c>
      <c r="V219" s="100"/>
      <c r="W219" s="101"/>
    </row>
    <row r="220" spans="2:23" ht="18" customHeight="1" x14ac:dyDescent="0.4">
      <c r="B220" s="102"/>
      <c r="C220" s="103"/>
      <c r="D220" s="103"/>
      <c r="E220" s="103"/>
      <c r="F220" s="103"/>
      <c r="G220" s="103"/>
      <c r="H220" s="103"/>
      <c r="I220" s="103"/>
      <c r="J220" s="100"/>
      <c r="K220" s="100"/>
      <c r="L220" s="101"/>
      <c r="M220" s="102"/>
      <c r="N220" s="103"/>
      <c r="O220" s="103"/>
      <c r="P220" s="103"/>
      <c r="Q220" s="103"/>
      <c r="R220" s="103"/>
      <c r="S220" s="103"/>
      <c r="T220" s="103"/>
      <c r="U220" s="104">
        <f t="shared" si="99"/>
        <v>0</v>
      </c>
      <c r="V220" s="100"/>
      <c r="W220" s="101"/>
    </row>
    <row r="221" spans="2:23" ht="18" customHeight="1" x14ac:dyDescent="0.4">
      <c r="B221" s="102"/>
      <c r="C221" s="103"/>
      <c r="D221" s="103"/>
      <c r="E221" s="103"/>
      <c r="F221" s="103"/>
      <c r="G221" s="103"/>
      <c r="H221" s="103"/>
      <c r="I221" s="103"/>
      <c r="J221" s="100"/>
      <c r="K221" s="100"/>
      <c r="L221" s="101"/>
      <c r="M221" s="102"/>
      <c r="N221" s="103"/>
      <c r="O221" s="103"/>
      <c r="P221" s="103"/>
      <c r="Q221" s="103"/>
      <c r="R221" s="103"/>
      <c r="S221" s="103"/>
      <c r="T221" s="103"/>
      <c r="U221" s="104">
        <f t="shared" si="99"/>
        <v>0</v>
      </c>
      <c r="V221" s="100"/>
      <c r="W221" s="101"/>
    </row>
    <row r="222" spans="2:23" ht="18" customHeight="1" x14ac:dyDescent="0.4">
      <c r="B222" s="102"/>
      <c r="C222" s="103"/>
      <c r="D222" s="103"/>
      <c r="E222" s="103"/>
      <c r="F222" s="103"/>
      <c r="G222" s="103"/>
      <c r="H222" s="103"/>
      <c r="I222" s="103"/>
      <c r="J222" s="100"/>
      <c r="K222" s="100"/>
      <c r="L222" s="101"/>
      <c r="M222" s="102"/>
      <c r="N222" s="103"/>
      <c r="O222" s="103"/>
      <c r="P222" s="103"/>
      <c r="Q222" s="103"/>
      <c r="R222" s="103"/>
      <c r="S222" s="103"/>
      <c r="T222" s="103"/>
      <c r="U222" s="104">
        <f t="shared" si="99"/>
        <v>0</v>
      </c>
      <c r="V222" s="100"/>
      <c r="W222" s="101"/>
    </row>
    <row r="223" spans="2:23" ht="18" customHeight="1" x14ac:dyDescent="0.4">
      <c r="B223" s="102"/>
      <c r="C223" s="103"/>
      <c r="D223" s="103"/>
      <c r="E223" s="103"/>
      <c r="F223" s="103"/>
      <c r="G223" s="103"/>
      <c r="H223" s="103"/>
      <c r="I223" s="103"/>
      <c r="J223" s="100"/>
      <c r="K223" s="100"/>
      <c r="L223" s="101"/>
      <c r="M223" s="102"/>
      <c r="N223" s="103"/>
      <c r="O223" s="103"/>
      <c r="P223" s="103"/>
      <c r="Q223" s="103"/>
      <c r="R223" s="103"/>
      <c r="S223" s="103"/>
      <c r="T223" s="103"/>
      <c r="U223" s="104">
        <f t="shared" si="99"/>
        <v>0</v>
      </c>
      <c r="V223" s="100"/>
      <c r="W223" s="101"/>
    </row>
    <row r="224" spans="2:23" ht="18" customHeight="1" x14ac:dyDescent="0.4">
      <c r="B224" s="109"/>
      <c r="C224" s="110"/>
      <c r="D224" s="110"/>
      <c r="E224" s="110"/>
      <c r="F224" s="110"/>
      <c r="G224" s="110"/>
      <c r="H224" s="110"/>
      <c r="I224" s="110"/>
      <c r="J224" s="107"/>
      <c r="K224" s="107"/>
      <c r="L224" s="108"/>
      <c r="M224" s="109"/>
      <c r="N224" s="110"/>
      <c r="O224" s="110"/>
      <c r="P224" s="110"/>
      <c r="Q224" s="110"/>
      <c r="R224" s="110"/>
      <c r="S224" s="110"/>
      <c r="T224" s="110"/>
      <c r="U224" s="111">
        <f t="shared" si="99"/>
        <v>0</v>
      </c>
      <c r="V224" s="107"/>
      <c r="W224" s="108"/>
    </row>
    <row r="225" spans="2:23" ht="18" customHeight="1" x14ac:dyDescent="0.4">
      <c r="B225" s="86"/>
      <c r="C225" s="87"/>
      <c r="D225" s="87"/>
      <c r="E225" s="87"/>
      <c r="F225" s="87"/>
      <c r="G225" s="87"/>
      <c r="H225" s="87"/>
      <c r="I225" s="87"/>
      <c r="J225" s="88" t="s">
        <v>105</v>
      </c>
      <c r="K225" s="87"/>
      <c r="L225" s="89"/>
      <c r="M225" s="90">
        <f>B225</f>
        <v>0</v>
      </c>
      <c r="N225" s="87"/>
      <c r="O225" s="87"/>
      <c r="P225" s="87"/>
      <c r="Q225" s="87"/>
      <c r="R225" s="87"/>
      <c r="S225" s="87"/>
      <c r="T225" s="87"/>
      <c r="U225" s="88" t="s">
        <v>105</v>
      </c>
      <c r="V225" s="87"/>
      <c r="W225" s="89"/>
    </row>
    <row r="226" spans="2:23" ht="18" customHeight="1" x14ac:dyDescent="0.4">
      <c r="B226" s="95"/>
      <c r="C226" s="96"/>
      <c r="D226" s="96"/>
      <c r="E226" s="96"/>
      <c r="F226" s="96"/>
      <c r="G226" s="96"/>
      <c r="H226" s="96"/>
      <c r="I226" s="96"/>
      <c r="J226" s="93"/>
      <c r="K226" s="93"/>
      <c r="L226" s="94"/>
      <c r="M226" s="95"/>
      <c r="N226" s="96"/>
      <c r="O226" s="96"/>
      <c r="P226" s="96"/>
      <c r="Q226" s="96"/>
      <c r="R226" s="96"/>
      <c r="S226" s="96"/>
      <c r="T226" s="96"/>
      <c r="U226" s="97">
        <f t="shared" ref="U226:U235" si="100">J226</f>
        <v>0</v>
      </c>
      <c r="V226" s="93"/>
      <c r="W226" s="94"/>
    </row>
    <row r="227" spans="2:23" ht="18" customHeight="1" x14ac:dyDescent="0.4">
      <c r="B227" s="102"/>
      <c r="C227" s="103"/>
      <c r="D227" s="103"/>
      <c r="E227" s="103"/>
      <c r="F227" s="103"/>
      <c r="G227" s="103"/>
      <c r="H227" s="103"/>
      <c r="I227" s="103"/>
      <c r="J227" s="100"/>
      <c r="K227" s="100"/>
      <c r="L227" s="101"/>
      <c r="M227" s="102"/>
      <c r="N227" s="103"/>
      <c r="O227" s="103"/>
      <c r="P227" s="103"/>
      <c r="Q227" s="103"/>
      <c r="R227" s="103"/>
      <c r="S227" s="103"/>
      <c r="T227" s="103"/>
      <c r="U227" s="104">
        <f t="shared" si="100"/>
        <v>0</v>
      </c>
      <c r="V227" s="100"/>
      <c r="W227" s="101"/>
    </row>
    <row r="228" spans="2:23" ht="18" customHeight="1" x14ac:dyDescent="0.4">
      <c r="B228" s="102"/>
      <c r="C228" s="103"/>
      <c r="D228" s="103"/>
      <c r="E228" s="103"/>
      <c r="F228" s="103"/>
      <c r="G228" s="103"/>
      <c r="H228" s="103"/>
      <c r="I228" s="103"/>
      <c r="J228" s="100"/>
      <c r="K228" s="100"/>
      <c r="L228" s="101"/>
      <c r="M228" s="102"/>
      <c r="N228" s="103"/>
      <c r="O228" s="103"/>
      <c r="P228" s="103"/>
      <c r="Q228" s="103"/>
      <c r="R228" s="103"/>
      <c r="S228" s="103"/>
      <c r="T228" s="103"/>
      <c r="U228" s="104">
        <f t="shared" si="100"/>
        <v>0</v>
      </c>
      <c r="V228" s="100"/>
      <c r="W228" s="101"/>
    </row>
    <row r="229" spans="2:23" ht="18" customHeight="1" x14ac:dyDescent="0.4">
      <c r="B229" s="102"/>
      <c r="C229" s="103"/>
      <c r="D229" s="103"/>
      <c r="E229" s="103"/>
      <c r="F229" s="103"/>
      <c r="G229" s="103"/>
      <c r="H229" s="103"/>
      <c r="I229" s="103"/>
      <c r="J229" s="100"/>
      <c r="K229" s="100"/>
      <c r="L229" s="101"/>
      <c r="M229" s="102"/>
      <c r="N229" s="103"/>
      <c r="O229" s="103"/>
      <c r="P229" s="103"/>
      <c r="Q229" s="103"/>
      <c r="R229" s="103"/>
      <c r="S229" s="103"/>
      <c r="T229" s="103"/>
      <c r="U229" s="104">
        <f t="shared" si="100"/>
        <v>0</v>
      </c>
      <c r="V229" s="100"/>
      <c r="W229" s="101"/>
    </row>
    <row r="230" spans="2:23" ht="18" customHeight="1" x14ac:dyDescent="0.4">
      <c r="B230" s="102"/>
      <c r="C230" s="103"/>
      <c r="D230" s="103"/>
      <c r="E230" s="103"/>
      <c r="F230" s="103"/>
      <c r="G230" s="103"/>
      <c r="H230" s="103"/>
      <c r="I230" s="103"/>
      <c r="J230" s="100"/>
      <c r="K230" s="100"/>
      <c r="L230" s="101"/>
      <c r="M230" s="102"/>
      <c r="N230" s="103"/>
      <c r="O230" s="103"/>
      <c r="P230" s="103"/>
      <c r="Q230" s="103"/>
      <c r="R230" s="103"/>
      <c r="S230" s="103"/>
      <c r="T230" s="103"/>
      <c r="U230" s="104">
        <f t="shared" si="100"/>
        <v>0</v>
      </c>
      <c r="V230" s="100"/>
      <c r="W230" s="101"/>
    </row>
    <row r="231" spans="2:23" ht="18" customHeight="1" x14ac:dyDescent="0.4">
      <c r="B231" s="102"/>
      <c r="C231" s="103"/>
      <c r="D231" s="103"/>
      <c r="E231" s="103"/>
      <c r="F231" s="103"/>
      <c r="G231" s="103"/>
      <c r="H231" s="103"/>
      <c r="I231" s="103"/>
      <c r="J231" s="100"/>
      <c r="K231" s="100"/>
      <c r="L231" s="101"/>
      <c r="M231" s="102"/>
      <c r="N231" s="103"/>
      <c r="O231" s="103"/>
      <c r="P231" s="103"/>
      <c r="Q231" s="103"/>
      <c r="R231" s="103"/>
      <c r="S231" s="103"/>
      <c r="T231" s="103"/>
      <c r="U231" s="104">
        <f t="shared" si="100"/>
        <v>0</v>
      </c>
      <c r="V231" s="100"/>
      <c r="W231" s="101"/>
    </row>
    <row r="232" spans="2:23" ht="18" customHeight="1" x14ac:dyDescent="0.4">
      <c r="B232" s="102"/>
      <c r="C232" s="103"/>
      <c r="D232" s="103"/>
      <c r="E232" s="103"/>
      <c r="F232" s="103"/>
      <c r="G232" s="103"/>
      <c r="H232" s="103"/>
      <c r="I232" s="103"/>
      <c r="J232" s="100"/>
      <c r="K232" s="100"/>
      <c r="L232" s="101"/>
      <c r="M232" s="102"/>
      <c r="N232" s="103"/>
      <c r="O232" s="103"/>
      <c r="P232" s="103"/>
      <c r="Q232" s="103"/>
      <c r="R232" s="103"/>
      <c r="S232" s="103"/>
      <c r="T232" s="103"/>
      <c r="U232" s="104">
        <f t="shared" si="100"/>
        <v>0</v>
      </c>
      <c r="V232" s="100"/>
      <c r="W232" s="101"/>
    </row>
    <row r="233" spans="2:23" ht="18" customHeight="1" x14ac:dyDescent="0.4">
      <c r="B233" s="102"/>
      <c r="C233" s="103"/>
      <c r="D233" s="103"/>
      <c r="E233" s="103"/>
      <c r="F233" s="103"/>
      <c r="G233" s="103"/>
      <c r="H233" s="103"/>
      <c r="I233" s="103"/>
      <c r="J233" s="100"/>
      <c r="K233" s="100"/>
      <c r="L233" s="101"/>
      <c r="M233" s="102"/>
      <c r="N233" s="103"/>
      <c r="O233" s="103"/>
      <c r="P233" s="103"/>
      <c r="Q233" s="103"/>
      <c r="R233" s="103"/>
      <c r="S233" s="103"/>
      <c r="T233" s="103"/>
      <c r="U233" s="104">
        <f t="shared" si="100"/>
        <v>0</v>
      </c>
      <c r="V233" s="100"/>
      <c r="W233" s="101"/>
    </row>
    <row r="234" spans="2:23" ht="18" customHeight="1" x14ac:dyDescent="0.4">
      <c r="B234" s="102"/>
      <c r="C234" s="103"/>
      <c r="D234" s="103"/>
      <c r="E234" s="103"/>
      <c r="F234" s="103"/>
      <c r="G234" s="103"/>
      <c r="H234" s="103"/>
      <c r="I234" s="103"/>
      <c r="J234" s="100"/>
      <c r="K234" s="100"/>
      <c r="L234" s="101"/>
      <c r="M234" s="102"/>
      <c r="N234" s="103"/>
      <c r="O234" s="103"/>
      <c r="P234" s="103"/>
      <c r="Q234" s="103"/>
      <c r="R234" s="103"/>
      <c r="S234" s="103"/>
      <c r="T234" s="103"/>
      <c r="U234" s="104">
        <f t="shared" si="100"/>
        <v>0</v>
      </c>
      <c r="V234" s="100"/>
      <c r="W234" s="101"/>
    </row>
    <row r="235" spans="2:23" ht="18" customHeight="1" x14ac:dyDescent="0.4">
      <c r="B235" s="109"/>
      <c r="C235" s="110"/>
      <c r="D235" s="110"/>
      <c r="E235" s="110"/>
      <c r="F235" s="110"/>
      <c r="G235" s="110"/>
      <c r="H235" s="110"/>
      <c r="I235" s="110"/>
      <c r="J235" s="107"/>
      <c r="K235" s="107"/>
      <c r="L235" s="108"/>
      <c r="M235" s="109"/>
      <c r="N235" s="110"/>
      <c r="O235" s="110"/>
      <c r="P235" s="110"/>
      <c r="Q235" s="110"/>
      <c r="R235" s="110"/>
      <c r="S235" s="110"/>
      <c r="T235" s="110"/>
      <c r="U235" s="111">
        <f t="shared" si="100"/>
        <v>0</v>
      </c>
      <c r="V235" s="107"/>
      <c r="W235" s="108"/>
    </row>
    <row r="236" spans="2:23" ht="18" customHeight="1" x14ac:dyDescent="0.4">
      <c r="B236" s="86"/>
      <c r="C236" s="87"/>
      <c r="D236" s="87"/>
      <c r="E236" s="87"/>
      <c r="F236" s="87"/>
      <c r="G236" s="87"/>
      <c r="H236" s="87"/>
      <c r="I236" s="87"/>
      <c r="J236" s="88" t="s">
        <v>105</v>
      </c>
      <c r="K236" s="87"/>
      <c r="L236" s="89"/>
      <c r="M236" s="90">
        <f>B236</f>
        <v>0</v>
      </c>
      <c r="N236" s="87"/>
      <c r="O236" s="87"/>
      <c r="P236" s="87"/>
      <c r="Q236" s="87"/>
      <c r="R236" s="87"/>
      <c r="S236" s="87"/>
      <c r="T236" s="87"/>
      <c r="U236" s="88" t="s">
        <v>105</v>
      </c>
      <c r="V236" s="87"/>
      <c r="W236" s="89"/>
    </row>
    <row r="237" spans="2:23" ht="18" customHeight="1" x14ac:dyDescent="0.4">
      <c r="B237" s="95"/>
      <c r="C237" s="96"/>
      <c r="D237" s="96"/>
      <c r="E237" s="96"/>
      <c r="F237" s="96"/>
      <c r="G237" s="96"/>
      <c r="H237" s="96"/>
      <c r="I237" s="96"/>
      <c r="J237" s="93"/>
      <c r="K237" s="93"/>
      <c r="L237" s="94"/>
      <c r="M237" s="95"/>
      <c r="N237" s="96"/>
      <c r="O237" s="96"/>
      <c r="P237" s="96"/>
      <c r="Q237" s="96"/>
      <c r="R237" s="96"/>
      <c r="S237" s="96"/>
      <c r="T237" s="96"/>
      <c r="U237" s="97">
        <f t="shared" ref="U237:U246" si="101">J237</f>
        <v>0</v>
      </c>
      <c r="V237" s="93"/>
      <c r="W237" s="94"/>
    </row>
    <row r="238" spans="2:23" ht="18" customHeight="1" x14ac:dyDescent="0.4">
      <c r="B238" s="102"/>
      <c r="C238" s="103"/>
      <c r="D238" s="103"/>
      <c r="E238" s="103"/>
      <c r="F238" s="103"/>
      <c r="G238" s="103"/>
      <c r="H238" s="103"/>
      <c r="I238" s="103"/>
      <c r="J238" s="100"/>
      <c r="K238" s="100"/>
      <c r="L238" s="101"/>
      <c r="M238" s="102"/>
      <c r="N238" s="103"/>
      <c r="O238" s="103"/>
      <c r="P238" s="103"/>
      <c r="Q238" s="103"/>
      <c r="R238" s="103"/>
      <c r="S238" s="103"/>
      <c r="T238" s="103"/>
      <c r="U238" s="104">
        <f t="shared" si="101"/>
        <v>0</v>
      </c>
      <c r="V238" s="100"/>
      <c r="W238" s="101"/>
    </row>
    <row r="239" spans="2:23" ht="18" customHeight="1" x14ac:dyDescent="0.4">
      <c r="B239" s="102"/>
      <c r="C239" s="103"/>
      <c r="D239" s="103"/>
      <c r="E239" s="103"/>
      <c r="F239" s="103"/>
      <c r="G239" s="103"/>
      <c r="H239" s="103"/>
      <c r="I239" s="103"/>
      <c r="J239" s="100"/>
      <c r="K239" s="100"/>
      <c r="L239" s="101"/>
      <c r="M239" s="102"/>
      <c r="N239" s="103"/>
      <c r="O239" s="103"/>
      <c r="P239" s="103"/>
      <c r="Q239" s="103"/>
      <c r="R239" s="103"/>
      <c r="S239" s="103"/>
      <c r="T239" s="103"/>
      <c r="U239" s="104">
        <f t="shared" si="101"/>
        <v>0</v>
      </c>
      <c r="V239" s="100"/>
      <c r="W239" s="101"/>
    </row>
    <row r="240" spans="2:23" ht="18" customHeight="1" x14ac:dyDescent="0.4">
      <c r="B240" s="102"/>
      <c r="C240" s="103"/>
      <c r="D240" s="103"/>
      <c r="E240" s="103"/>
      <c r="F240" s="103"/>
      <c r="G240" s="103"/>
      <c r="H240" s="103"/>
      <c r="I240" s="103"/>
      <c r="J240" s="100"/>
      <c r="K240" s="100"/>
      <c r="L240" s="101"/>
      <c r="M240" s="102"/>
      <c r="N240" s="103"/>
      <c r="O240" s="103"/>
      <c r="P240" s="103"/>
      <c r="Q240" s="103"/>
      <c r="R240" s="103"/>
      <c r="S240" s="103"/>
      <c r="T240" s="103"/>
      <c r="U240" s="104">
        <f t="shared" si="101"/>
        <v>0</v>
      </c>
      <c r="V240" s="100"/>
      <c r="W240" s="101"/>
    </row>
    <row r="241" spans="2:23" ht="18" customHeight="1" x14ac:dyDescent="0.4">
      <c r="B241" s="102"/>
      <c r="C241" s="103"/>
      <c r="D241" s="103"/>
      <c r="E241" s="103"/>
      <c r="F241" s="103"/>
      <c r="G241" s="103"/>
      <c r="H241" s="103"/>
      <c r="I241" s="103"/>
      <c r="J241" s="100"/>
      <c r="K241" s="100"/>
      <c r="L241" s="101"/>
      <c r="M241" s="102"/>
      <c r="N241" s="103"/>
      <c r="O241" s="103"/>
      <c r="P241" s="103"/>
      <c r="Q241" s="103"/>
      <c r="R241" s="103"/>
      <c r="S241" s="103"/>
      <c r="T241" s="103"/>
      <c r="U241" s="104">
        <f t="shared" si="101"/>
        <v>0</v>
      </c>
      <c r="V241" s="100"/>
      <c r="W241" s="101"/>
    </row>
    <row r="242" spans="2:23" ht="18" customHeight="1" x14ac:dyDescent="0.4">
      <c r="B242" s="102"/>
      <c r="C242" s="103"/>
      <c r="D242" s="103"/>
      <c r="E242" s="103"/>
      <c r="F242" s="103"/>
      <c r="G242" s="103"/>
      <c r="H242" s="103"/>
      <c r="I242" s="103"/>
      <c r="J242" s="100"/>
      <c r="K242" s="100"/>
      <c r="L242" s="101"/>
      <c r="M242" s="102"/>
      <c r="N242" s="103"/>
      <c r="O242" s="103"/>
      <c r="P242" s="103"/>
      <c r="Q242" s="103"/>
      <c r="R242" s="103"/>
      <c r="S242" s="103"/>
      <c r="T242" s="103"/>
      <c r="U242" s="104">
        <f t="shared" si="101"/>
        <v>0</v>
      </c>
      <c r="V242" s="100"/>
      <c r="W242" s="101"/>
    </row>
    <row r="243" spans="2:23" ht="18" customHeight="1" x14ac:dyDescent="0.4">
      <c r="B243" s="102"/>
      <c r="C243" s="103"/>
      <c r="D243" s="103"/>
      <c r="E243" s="103"/>
      <c r="F243" s="103"/>
      <c r="G243" s="103"/>
      <c r="H243" s="103"/>
      <c r="I243" s="103"/>
      <c r="J243" s="100"/>
      <c r="K243" s="100"/>
      <c r="L243" s="101"/>
      <c r="M243" s="102"/>
      <c r="N243" s="103"/>
      <c r="O243" s="103"/>
      <c r="P243" s="103"/>
      <c r="Q243" s="103"/>
      <c r="R243" s="103"/>
      <c r="S243" s="103"/>
      <c r="T243" s="103"/>
      <c r="U243" s="104">
        <f t="shared" si="101"/>
        <v>0</v>
      </c>
      <c r="V243" s="100"/>
      <c r="W243" s="101"/>
    </row>
    <row r="244" spans="2:23" ht="18" customHeight="1" x14ac:dyDescent="0.4">
      <c r="B244" s="102"/>
      <c r="C244" s="103"/>
      <c r="D244" s="103"/>
      <c r="E244" s="103"/>
      <c r="F244" s="103"/>
      <c r="G244" s="103"/>
      <c r="H244" s="103"/>
      <c r="I244" s="103"/>
      <c r="J244" s="100"/>
      <c r="K244" s="100"/>
      <c r="L244" s="101"/>
      <c r="M244" s="102"/>
      <c r="N244" s="103"/>
      <c r="O244" s="103"/>
      <c r="P244" s="103"/>
      <c r="Q244" s="103"/>
      <c r="R244" s="103"/>
      <c r="S244" s="103"/>
      <c r="T244" s="103"/>
      <c r="U244" s="104">
        <f t="shared" si="101"/>
        <v>0</v>
      </c>
      <c r="V244" s="100"/>
      <c r="W244" s="101"/>
    </row>
    <row r="245" spans="2:23" ht="18" customHeight="1" x14ac:dyDescent="0.4">
      <c r="B245" s="102"/>
      <c r="C245" s="103"/>
      <c r="D245" s="103"/>
      <c r="E245" s="103"/>
      <c r="F245" s="103"/>
      <c r="G245" s="103"/>
      <c r="H245" s="103"/>
      <c r="I245" s="103"/>
      <c r="J245" s="100"/>
      <c r="K245" s="100"/>
      <c r="L245" s="101"/>
      <c r="M245" s="102"/>
      <c r="N245" s="103"/>
      <c r="O245" s="103"/>
      <c r="P245" s="103"/>
      <c r="Q245" s="103"/>
      <c r="R245" s="103"/>
      <c r="S245" s="103"/>
      <c r="T245" s="103"/>
      <c r="U245" s="104">
        <f t="shared" si="101"/>
        <v>0</v>
      </c>
      <c r="V245" s="100"/>
      <c r="W245" s="101"/>
    </row>
    <row r="246" spans="2:23" ht="18" customHeight="1" x14ac:dyDescent="0.4">
      <c r="B246" s="109"/>
      <c r="C246" s="110"/>
      <c r="D246" s="110"/>
      <c r="E246" s="110"/>
      <c r="F246" s="110"/>
      <c r="G246" s="110"/>
      <c r="H246" s="110"/>
      <c r="I246" s="110"/>
      <c r="J246" s="107"/>
      <c r="K246" s="107"/>
      <c r="L246" s="108"/>
      <c r="M246" s="109"/>
      <c r="N246" s="110"/>
      <c r="O246" s="110"/>
      <c r="P246" s="110"/>
      <c r="Q246" s="110"/>
      <c r="R246" s="110"/>
      <c r="S246" s="110"/>
      <c r="T246" s="110"/>
      <c r="U246" s="111">
        <f t="shared" si="101"/>
        <v>0</v>
      </c>
      <c r="V246" s="107"/>
      <c r="W246" s="108"/>
    </row>
    <row r="247" spans="2:23" ht="18" customHeight="1" x14ac:dyDescent="0.4">
      <c r="B247" s="86"/>
      <c r="C247" s="87"/>
      <c r="D247" s="87"/>
      <c r="E247" s="87"/>
      <c r="F247" s="87"/>
      <c r="G247" s="87"/>
      <c r="H247" s="87"/>
      <c r="I247" s="87"/>
      <c r="J247" s="88" t="s">
        <v>105</v>
      </c>
      <c r="K247" s="87"/>
      <c r="L247" s="89"/>
      <c r="M247" s="90">
        <f>B247</f>
        <v>0</v>
      </c>
      <c r="N247" s="87"/>
      <c r="O247" s="87"/>
      <c r="P247" s="87"/>
      <c r="Q247" s="87"/>
      <c r="R247" s="87"/>
      <c r="S247" s="87"/>
      <c r="T247" s="87"/>
      <c r="U247" s="88" t="s">
        <v>105</v>
      </c>
      <c r="V247" s="87"/>
      <c r="W247" s="89"/>
    </row>
    <row r="248" spans="2:23" ht="18" customHeight="1" x14ac:dyDescent="0.4">
      <c r="B248" s="95"/>
      <c r="C248" s="96"/>
      <c r="D248" s="96"/>
      <c r="E248" s="96"/>
      <c r="F248" s="96"/>
      <c r="G248" s="96"/>
      <c r="H248" s="96"/>
      <c r="I248" s="96"/>
      <c r="J248" s="93"/>
      <c r="K248" s="93"/>
      <c r="L248" s="94"/>
      <c r="M248" s="95"/>
      <c r="N248" s="96"/>
      <c r="O248" s="96"/>
      <c r="P248" s="96"/>
      <c r="Q248" s="96"/>
      <c r="R248" s="96"/>
      <c r="S248" s="96"/>
      <c r="T248" s="96"/>
      <c r="U248" s="97">
        <f t="shared" ref="U248:U257" si="102">J248</f>
        <v>0</v>
      </c>
      <c r="V248" s="93"/>
      <c r="W248" s="94"/>
    </row>
    <row r="249" spans="2:23" ht="18" customHeight="1" x14ac:dyDescent="0.4">
      <c r="B249" s="102"/>
      <c r="C249" s="103"/>
      <c r="D249" s="103"/>
      <c r="E249" s="103"/>
      <c r="F249" s="103"/>
      <c r="G249" s="103"/>
      <c r="H249" s="103"/>
      <c r="I249" s="103"/>
      <c r="J249" s="100"/>
      <c r="K249" s="100"/>
      <c r="L249" s="101"/>
      <c r="M249" s="102"/>
      <c r="N249" s="103"/>
      <c r="O249" s="103"/>
      <c r="P249" s="103"/>
      <c r="Q249" s="103"/>
      <c r="R249" s="103"/>
      <c r="S249" s="103"/>
      <c r="T249" s="103"/>
      <c r="U249" s="104">
        <f t="shared" si="102"/>
        <v>0</v>
      </c>
      <c r="V249" s="100"/>
      <c r="W249" s="101"/>
    </row>
    <row r="250" spans="2:23" ht="18" customHeight="1" x14ac:dyDescent="0.4">
      <c r="B250" s="102"/>
      <c r="C250" s="103"/>
      <c r="D250" s="103"/>
      <c r="E250" s="103"/>
      <c r="F250" s="103"/>
      <c r="G250" s="103"/>
      <c r="H250" s="103"/>
      <c r="I250" s="103"/>
      <c r="J250" s="100"/>
      <c r="K250" s="100"/>
      <c r="L250" s="101"/>
      <c r="M250" s="102"/>
      <c r="N250" s="103"/>
      <c r="O250" s="103"/>
      <c r="P250" s="103"/>
      <c r="Q250" s="103"/>
      <c r="R250" s="103"/>
      <c r="S250" s="103"/>
      <c r="T250" s="103"/>
      <c r="U250" s="104">
        <f t="shared" si="102"/>
        <v>0</v>
      </c>
      <c r="V250" s="100"/>
      <c r="W250" s="101"/>
    </row>
    <row r="251" spans="2:23" ht="18" customHeight="1" x14ac:dyDescent="0.4">
      <c r="B251" s="102"/>
      <c r="C251" s="103"/>
      <c r="D251" s="103"/>
      <c r="E251" s="103"/>
      <c r="F251" s="103"/>
      <c r="G251" s="103"/>
      <c r="H251" s="103"/>
      <c r="I251" s="103"/>
      <c r="J251" s="100"/>
      <c r="K251" s="100"/>
      <c r="L251" s="101"/>
      <c r="M251" s="102"/>
      <c r="N251" s="103"/>
      <c r="O251" s="103"/>
      <c r="P251" s="103"/>
      <c r="Q251" s="103"/>
      <c r="R251" s="103"/>
      <c r="S251" s="103"/>
      <c r="T251" s="103"/>
      <c r="U251" s="104">
        <f t="shared" si="102"/>
        <v>0</v>
      </c>
      <c r="V251" s="100"/>
      <c r="W251" s="101"/>
    </row>
    <row r="252" spans="2:23" ht="18" customHeight="1" x14ac:dyDescent="0.4">
      <c r="B252" s="102"/>
      <c r="C252" s="103"/>
      <c r="D252" s="103"/>
      <c r="E252" s="103"/>
      <c r="F252" s="103"/>
      <c r="G252" s="103"/>
      <c r="H252" s="103"/>
      <c r="I252" s="103"/>
      <c r="J252" s="100"/>
      <c r="K252" s="100"/>
      <c r="L252" s="101"/>
      <c r="M252" s="102"/>
      <c r="N252" s="103"/>
      <c r="O252" s="103"/>
      <c r="P252" s="103"/>
      <c r="Q252" s="103"/>
      <c r="R252" s="103"/>
      <c r="S252" s="103"/>
      <c r="T252" s="103"/>
      <c r="U252" s="104">
        <f t="shared" si="102"/>
        <v>0</v>
      </c>
      <c r="V252" s="100"/>
      <c r="W252" s="101"/>
    </row>
    <row r="253" spans="2:23" ht="18" customHeight="1" x14ac:dyDescent="0.4">
      <c r="B253" s="102"/>
      <c r="C253" s="103"/>
      <c r="D253" s="103"/>
      <c r="E253" s="103"/>
      <c r="F253" s="103"/>
      <c r="G253" s="103"/>
      <c r="H253" s="103"/>
      <c r="I253" s="103"/>
      <c r="J253" s="100"/>
      <c r="K253" s="100"/>
      <c r="L253" s="101"/>
      <c r="M253" s="102"/>
      <c r="N253" s="103"/>
      <c r="O253" s="103"/>
      <c r="P253" s="103"/>
      <c r="Q253" s="103"/>
      <c r="R253" s="103"/>
      <c r="S253" s="103"/>
      <c r="T253" s="103"/>
      <c r="U253" s="104">
        <f t="shared" si="102"/>
        <v>0</v>
      </c>
      <c r="V253" s="100"/>
      <c r="W253" s="101"/>
    </row>
    <row r="254" spans="2:23" ht="18" customHeight="1" x14ac:dyDescent="0.4">
      <c r="B254" s="102"/>
      <c r="C254" s="103"/>
      <c r="D254" s="103"/>
      <c r="E254" s="103"/>
      <c r="F254" s="103"/>
      <c r="G254" s="103"/>
      <c r="H254" s="103"/>
      <c r="I254" s="103"/>
      <c r="J254" s="100"/>
      <c r="K254" s="100"/>
      <c r="L254" s="101"/>
      <c r="M254" s="102"/>
      <c r="N254" s="103"/>
      <c r="O254" s="103"/>
      <c r="P254" s="103"/>
      <c r="Q254" s="103"/>
      <c r="R254" s="103"/>
      <c r="S254" s="103"/>
      <c r="T254" s="103"/>
      <c r="U254" s="104">
        <f t="shared" si="102"/>
        <v>0</v>
      </c>
      <c r="V254" s="100"/>
      <c r="W254" s="101"/>
    </row>
    <row r="255" spans="2:23" ht="18" customHeight="1" x14ac:dyDescent="0.4">
      <c r="B255" s="102"/>
      <c r="C255" s="103"/>
      <c r="D255" s="103"/>
      <c r="E255" s="103"/>
      <c r="F255" s="103"/>
      <c r="G255" s="103"/>
      <c r="H255" s="103"/>
      <c r="I255" s="103"/>
      <c r="J255" s="100"/>
      <c r="K255" s="100"/>
      <c r="L255" s="101"/>
      <c r="M255" s="102"/>
      <c r="N255" s="103"/>
      <c r="O255" s="103"/>
      <c r="P255" s="103"/>
      <c r="Q255" s="103"/>
      <c r="R255" s="103"/>
      <c r="S255" s="103"/>
      <c r="T255" s="103"/>
      <c r="U255" s="104">
        <f t="shared" si="102"/>
        <v>0</v>
      </c>
      <c r="V255" s="100"/>
      <c r="W255" s="101"/>
    </row>
    <row r="256" spans="2:23" ht="18" customHeight="1" x14ac:dyDescent="0.4">
      <c r="B256" s="102"/>
      <c r="C256" s="103"/>
      <c r="D256" s="103"/>
      <c r="E256" s="103"/>
      <c r="F256" s="103"/>
      <c r="G256" s="103"/>
      <c r="H256" s="103"/>
      <c r="I256" s="103"/>
      <c r="J256" s="100"/>
      <c r="K256" s="100"/>
      <c r="L256" s="101"/>
      <c r="M256" s="102"/>
      <c r="N256" s="103"/>
      <c r="O256" s="103"/>
      <c r="P256" s="103"/>
      <c r="Q256" s="103"/>
      <c r="R256" s="103"/>
      <c r="S256" s="103"/>
      <c r="T256" s="103"/>
      <c r="U256" s="104">
        <f t="shared" si="102"/>
        <v>0</v>
      </c>
      <c r="V256" s="100"/>
      <c r="W256" s="101"/>
    </row>
    <row r="257" spans="2:23" ht="18" customHeight="1" x14ac:dyDescent="0.4">
      <c r="B257" s="109"/>
      <c r="C257" s="110"/>
      <c r="D257" s="110"/>
      <c r="E257" s="110"/>
      <c r="F257" s="110"/>
      <c r="G257" s="110"/>
      <c r="H257" s="110"/>
      <c r="I257" s="110"/>
      <c r="J257" s="107"/>
      <c r="K257" s="107"/>
      <c r="L257" s="108"/>
      <c r="M257" s="109"/>
      <c r="N257" s="110"/>
      <c r="O257" s="110"/>
      <c r="P257" s="110"/>
      <c r="Q257" s="110"/>
      <c r="R257" s="110"/>
      <c r="S257" s="110"/>
      <c r="T257" s="110"/>
      <c r="U257" s="111">
        <f t="shared" si="102"/>
        <v>0</v>
      </c>
      <c r="V257" s="107"/>
      <c r="W257" s="108"/>
    </row>
  </sheetData>
  <mergeCells count="40">
    <mergeCell ref="B226:I235"/>
    <mergeCell ref="M226:T235"/>
    <mergeCell ref="B237:I246"/>
    <mergeCell ref="M237:T246"/>
    <mergeCell ref="B248:I257"/>
    <mergeCell ref="M248:T257"/>
    <mergeCell ref="B193:I202"/>
    <mergeCell ref="M193:T202"/>
    <mergeCell ref="B204:I213"/>
    <mergeCell ref="M204:T213"/>
    <mergeCell ref="B215:I224"/>
    <mergeCell ref="M215:T224"/>
    <mergeCell ref="B160:I169"/>
    <mergeCell ref="M160:T169"/>
    <mergeCell ref="B171:I180"/>
    <mergeCell ref="M171:T180"/>
    <mergeCell ref="B182:I191"/>
    <mergeCell ref="M182:T191"/>
    <mergeCell ref="M105:T114"/>
    <mergeCell ref="M116:T125"/>
    <mergeCell ref="M127:T136"/>
    <mergeCell ref="M138:T147"/>
    <mergeCell ref="M149:T158"/>
    <mergeCell ref="N11:Q12"/>
    <mergeCell ref="R11:R12"/>
    <mergeCell ref="S11:T11"/>
    <mergeCell ref="H12:I12"/>
    <mergeCell ref="S12:T12"/>
    <mergeCell ref="B8:B9"/>
    <mergeCell ref="M8:M9"/>
    <mergeCell ref="B11:B12"/>
    <mergeCell ref="C11:F12"/>
    <mergeCell ref="G11:G12"/>
    <mergeCell ref="H11:I11"/>
    <mergeCell ref="M11:M12"/>
    <mergeCell ref="M2:W2"/>
    <mergeCell ref="C3:F3"/>
    <mergeCell ref="N3:Q3"/>
    <mergeCell ref="C4:F4"/>
    <mergeCell ref="N4:Q4"/>
  </mergeCells>
  <phoneticPr fontId="1"/>
  <pageMargins left="0.19685039370078741" right="0.19685039370078741" top="0.59055118110236227" bottom="0.19685039370078741" header="0.31496062992125984" footer="0.31496062992125984"/>
  <pageSetup paperSize="9" scale="99" orientation="portrait" r:id="rId1"/>
  <colBreaks count="1" manualBreakCount="1">
    <brk id="12" min="1" max="8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B936-8B6B-4F52-9718-2C789A04FCB9}">
  <dimension ref="B1:W257"/>
  <sheetViews>
    <sheetView showZeros="0" view="pageBreakPreview" zoomScale="80" zoomScaleNormal="100" zoomScaleSheetLayoutView="80" workbookViewId="0">
      <selection activeCell="O20" sqref="O20"/>
    </sheetView>
  </sheetViews>
  <sheetFormatPr defaultRowHeight="18.75" outlineLevelCol="1" x14ac:dyDescent="0.4"/>
  <cols>
    <col min="1" max="1" width="2.875" customWidth="1"/>
    <col min="2" max="2" width="6.5" customWidth="1"/>
    <col min="3" max="3" width="8.625" customWidth="1"/>
    <col min="4" max="4" width="10" customWidth="1"/>
    <col min="5" max="7" width="8.25" customWidth="1"/>
    <col min="8" max="8" width="6.25" customWidth="1"/>
    <col min="9" max="9" width="5" customWidth="1"/>
    <col min="10" max="10" width="7.875" customWidth="1"/>
    <col min="11" max="11" width="9.75" customWidth="1"/>
    <col min="12" max="12" width="14.25" customWidth="1"/>
    <col min="13" max="13" width="6.5" customWidth="1" outlineLevel="1"/>
    <col min="14" max="14" width="8.625" customWidth="1" outlineLevel="1"/>
    <col min="15" max="15" width="10" customWidth="1" outlineLevel="1"/>
    <col min="16" max="18" width="8.25" customWidth="1" outlineLevel="1"/>
    <col min="19" max="19" width="6.25" customWidth="1" outlineLevel="1"/>
    <col min="20" max="20" width="5" customWidth="1" outlineLevel="1"/>
    <col min="21" max="21" width="7.875" customWidth="1" outlineLevel="1"/>
    <col min="22" max="22" width="9.75" customWidth="1" outlineLevel="1"/>
    <col min="23" max="23" width="13.5" customWidth="1" outlineLevel="1"/>
  </cols>
  <sheetData>
    <row r="1" spans="2:23" x14ac:dyDescent="0.4">
      <c r="F1" t="s">
        <v>0</v>
      </c>
      <c r="G1" s="1">
        <v>1</v>
      </c>
      <c r="I1" s="2" t="s">
        <v>1</v>
      </c>
      <c r="J1" s="1">
        <v>0.15</v>
      </c>
      <c r="K1" s="3">
        <v>1.5</v>
      </c>
      <c r="L1" s="4">
        <f>N11-C11</f>
        <v>1811700</v>
      </c>
      <c r="W1" s="5"/>
    </row>
    <row r="2" spans="2:23" ht="35.25" x14ac:dyDescent="0.4">
      <c r="B2" s="157" t="s">
        <v>146</v>
      </c>
      <c r="C2" s="157"/>
      <c r="D2" s="157"/>
      <c r="E2" s="158"/>
      <c r="F2" s="159" t="s">
        <v>139</v>
      </c>
      <c r="G2" s="159"/>
      <c r="H2" s="159"/>
      <c r="I2" s="159"/>
      <c r="J2" s="159"/>
      <c r="K2" s="159" t="s">
        <v>140</v>
      </c>
      <c r="L2" s="159"/>
      <c r="M2" s="6" t="s">
        <v>172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 spans="2:23" ht="23.25" customHeight="1" x14ac:dyDescent="0.4">
      <c r="B3" s="7" t="s">
        <v>138</v>
      </c>
      <c r="C3" s="8"/>
      <c r="D3" s="8"/>
      <c r="E3" s="8"/>
      <c r="F3" s="8"/>
      <c r="G3" s="9" t="s">
        <v>2</v>
      </c>
      <c r="J3" s="10"/>
      <c r="K3" s="11" t="s">
        <v>3</v>
      </c>
      <c r="L3" s="12"/>
      <c r="M3" s="7" t="s">
        <v>4</v>
      </c>
      <c r="N3" s="13"/>
      <c r="O3" s="13"/>
      <c r="P3" s="13"/>
      <c r="Q3" s="13"/>
      <c r="R3" s="9" t="s">
        <v>2</v>
      </c>
      <c r="U3" s="10"/>
      <c r="V3" s="11" t="str">
        <f>K3</f>
        <v>顧客番号</v>
      </c>
      <c r="W3" s="14">
        <f>L3</f>
        <v>0</v>
      </c>
    </row>
    <row r="4" spans="2:23" ht="21" customHeight="1" x14ac:dyDescent="0.4">
      <c r="B4" s="15" t="s">
        <v>5</v>
      </c>
      <c r="C4" s="16"/>
      <c r="D4" s="16"/>
      <c r="E4" s="16"/>
      <c r="F4" s="16"/>
      <c r="G4" s="17" t="s">
        <v>6</v>
      </c>
      <c r="J4" s="10"/>
      <c r="K4" s="18" t="s">
        <v>7</v>
      </c>
      <c r="L4" s="19"/>
      <c r="M4" s="15" t="s">
        <v>5</v>
      </c>
      <c r="N4" s="16"/>
      <c r="O4" s="16"/>
      <c r="P4" s="16"/>
      <c r="Q4" s="16"/>
      <c r="R4" s="17" t="s">
        <v>6</v>
      </c>
      <c r="U4" s="10"/>
      <c r="V4" s="11" t="s">
        <v>8</v>
      </c>
      <c r="W4" s="19">
        <f ca="1">TODAY()</f>
        <v>46255</v>
      </c>
    </row>
    <row r="5" spans="2:23" ht="21" customHeight="1" x14ac:dyDescent="0.4">
      <c r="B5" s="20" t="s">
        <v>9</v>
      </c>
      <c r="C5" s="21"/>
      <c r="D5" s="21"/>
      <c r="E5" s="21"/>
      <c r="F5" s="21"/>
      <c r="G5" s="21"/>
      <c r="H5" s="21"/>
      <c r="I5" s="21"/>
      <c r="J5" s="22"/>
      <c r="K5" s="23" t="s">
        <v>10</v>
      </c>
      <c r="L5" s="20"/>
      <c r="M5" s="20" t="s">
        <v>11</v>
      </c>
      <c r="N5" s="21"/>
      <c r="O5" s="21"/>
      <c r="P5" s="21"/>
      <c r="Q5" s="21"/>
      <c r="R5" s="21"/>
      <c r="S5" s="21"/>
      <c r="T5" s="21"/>
      <c r="U5" s="24"/>
      <c r="V5" s="25" t="str">
        <f>K5</f>
        <v>受注契約日</v>
      </c>
      <c r="W5" s="26">
        <f ca="1">W4</f>
        <v>46255</v>
      </c>
    </row>
    <row r="6" spans="2:23" ht="21" customHeight="1" x14ac:dyDescent="0.4">
      <c r="B6" s="27" t="s">
        <v>141</v>
      </c>
      <c r="C6" s="28" t="s">
        <v>141</v>
      </c>
      <c r="D6" s="29"/>
      <c r="E6" s="29"/>
      <c r="F6" s="28" t="s">
        <v>6</v>
      </c>
      <c r="G6" s="31" t="s">
        <v>142</v>
      </c>
      <c r="H6" s="31"/>
      <c r="I6" s="31"/>
      <c r="J6" s="32"/>
      <c r="K6" s="30" t="s">
        <v>143</v>
      </c>
      <c r="L6" s="30"/>
      <c r="M6" s="33" t="s">
        <v>12</v>
      </c>
      <c r="N6" s="28" t="str">
        <f>C6</f>
        <v>氏名</v>
      </c>
      <c r="O6" s="29"/>
      <c r="P6" s="29"/>
      <c r="Q6" s="29"/>
      <c r="R6" s="29"/>
      <c r="S6" s="31"/>
      <c r="T6" s="31">
        <f>I6</f>
        <v>0</v>
      </c>
      <c r="U6" s="32">
        <f>J6</f>
        <v>0</v>
      </c>
      <c r="V6" s="30"/>
      <c r="W6" s="30"/>
    </row>
    <row r="7" spans="2:23" ht="21" customHeight="1" x14ac:dyDescent="0.4">
      <c r="B7" s="34" t="s">
        <v>13</v>
      </c>
      <c r="C7" s="35" t="s">
        <v>14</v>
      </c>
      <c r="D7" s="36"/>
      <c r="E7" s="36"/>
      <c r="F7" s="36"/>
      <c r="G7" s="36"/>
      <c r="J7" s="37" t="s">
        <v>15</v>
      </c>
      <c r="M7" s="38" t="s">
        <v>16</v>
      </c>
      <c r="N7" s="35" t="s">
        <v>17</v>
      </c>
      <c r="O7" s="36"/>
      <c r="P7" s="36"/>
      <c r="Q7" s="36"/>
      <c r="R7" s="36"/>
      <c r="U7" s="37" t="s">
        <v>18</v>
      </c>
    </row>
    <row r="8" spans="2:23" ht="21" customHeight="1" x14ac:dyDescent="0.4">
      <c r="B8" s="39" t="s">
        <v>19</v>
      </c>
      <c r="C8" s="40" t="s">
        <v>20</v>
      </c>
      <c r="D8" s="40" t="s">
        <v>21</v>
      </c>
      <c r="E8" s="40"/>
      <c r="F8" s="40"/>
      <c r="G8" s="40"/>
      <c r="M8" s="41" t="s">
        <v>19</v>
      </c>
      <c r="N8" s="40" t="s">
        <v>20</v>
      </c>
      <c r="O8" s="40"/>
      <c r="P8" s="40"/>
      <c r="Q8" s="40"/>
      <c r="R8" s="40"/>
    </row>
    <row r="9" spans="2:23" ht="21" customHeight="1" x14ac:dyDescent="0.4">
      <c r="B9" s="42"/>
      <c r="C9" s="40" t="s">
        <v>22</v>
      </c>
      <c r="D9" s="40" t="s">
        <v>23</v>
      </c>
      <c r="E9" s="40"/>
      <c r="F9" s="40"/>
      <c r="G9" s="40"/>
      <c r="M9" s="43"/>
      <c r="N9" s="40" t="s">
        <v>22</v>
      </c>
      <c r="O9" s="40"/>
      <c r="P9" s="40"/>
      <c r="Q9" s="40"/>
      <c r="R9" s="40"/>
    </row>
    <row r="10" spans="2:23" ht="6.75" customHeight="1" x14ac:dyDescent="0.4">
      <c r="B10" s="44"/>
      <c r="M10" s="44"/>
    </row>
    <row r="11" spans="2:23" ht="21" customHeight="1" x14ac:dyDescent="0.4">
      <c r="B11" s="45" t="s">
        <v>24</v>
      </c>
      <c r="C11" s="46">
        <f>K81</f>
        <v>4255900</v>
      </c>
      <c r="D11" s="47"/>
      <c r="E11" s="47"/>
      <c r="F11" s="47"/>
      <c r="G11" s="48" t="s">
        <v>25</v>
      </c>
      <c r="H11" s="49"/>
      <c r="I11" s="50"/>
      <c r="M11" s="51" t="s">
        <v>24</v>
      </c>
      <c r="N11" s="46">
        <f>V81</f>
        <v>6067600</v>
      </c>
      <c r="O11" s="47"/>
      <c r="P11" s="47"/>
      <c r="Q11" s="47"/>
      <c r="R11" s="48" t="s">
        <v>25</v>
      </c>
      <c r="S11" s="49">
        <f>H11</f>
        <v>0</v>
      </c>
      <c r="T11" s="50"/>
      <c r="U11" s="52"/>
      <c r="V11" s="53"/>
      <c r="W11" s="53"/>
    </row>
    <row r="12" spans="2:23" ht="21" customHeight="1" x14ac:dyDescent="0.4">
      <c r="B12" s="54"/>
      <c r="C12" s="55"/>
      <c r="D12" s="55"/>
      <c r="E12" s="55"/>
      <c r="F12" s="55"/>
      <c r="G12" s="56"/>
      <c r="H12" s="49"/>
      <c r="I12" s="50"/>
      <c r="M12" s="57"/>
      <c r="N12" s="55"/>
      <c r="O12" s="55"/>
      <c r="P12" s="55"/>
      <c r="Q12" s="55"/>
      <c r="R12" s="56"/>
      <c r="S12" s="49">
        <f>H12</f>
        <v>0</v>
      </c>
      <c r="T12" s="50"/>
      <c r="U12" s="53"/>
      <c r="V12" s="53"/>
      <c r="W12" s="53"/>
    </row>
    <row r="13" spans="2:23" ht="5.25" customHeight="1" x14ac:dyDescent="0.4"/>
    <row r="14" spans="2:23" x14ac:dyDescent="0.4">
      <c r="B14" s="58" t="s">
        <v>26</v>
      </c>
      <c r="C14" s="58" t="s">
        <v>27</v>
      </c>
      <c r="D14" s="58"/>
      <c r="E14" s="58"/>
      <c r="F14" s="58"/>
      <c r="G14" s="58"/>
      <c r="H14" s="58" t="s">
        <v>28</v>
      </c>
      <c r="I14" s="58" t="s">
        <v>29</v>
      </c>
      <c r="J14" s="58" t="s">
        <v>30</v>
      </c>
      <c r="K14" s="58" t="s">
        <v>31</v>
      </c>
      <c r="L14" s="58" t="s">
        <v>32</v>
      </c>
      <c r="M14" s="59" t="s">
        <v>26</v>
      </c>
      <c r="N14" s="59" t="s">
        <v>27</v>
      </c>
      <c r="O14" s="59"/>
      <c r="P14" s="59"/>
      <c r="Q14" s="59"/>
      <c r="R14" s="59"/>
      <c r="S14" s="59" t="s">
        <v>28</v>
      </c>
      <c r="T14" s="59" t="s">
        <v>29</v>
      </c>
      <c r="U14" s="59" t="s">
        <v>30</v>
      </c>
      <c r="V14" s="59" t="s">
        <v>31</v>
      </c>
      <c r="W14" s="59" t="s">
        <v>32</v>
      </c>
    </row>
    <row r="15" spans="2:23" x14ac:dyDescent="0.4">
      <c r="B15" s="60" t="s">
        <v>106</v>
      </c>
      <c r="C15" s="60" t="s">
        <v>33</v>
      </c>
      <c r="D15" s="62"/>
      <c r="E15" s="62" t="s">
        <v>34</v>
      </c>
      <c r="F15" s="62"/>
      <c r="G15" s="61"/>
      <c r="H15" s="63">
        <v>12</v>
      </c>
      <c r="I15" s="64" t="s">
        <v>35</v>
      </c>
      <c r="J15" s="65">
        <f>ROUNDDOWN($G$1*1619/3*2.5,0)</f>
        <v>1349</v>
      </c>
      <c r="K15" s="66">
        <f t="shared" ref="K15:K74" si="0">ROUNDDOWN(H15*J15,0)</f>
        <v>16188</v>
      </c>
      <c r="L15" s="61"/>
      <c r="M15" s="67" t="str">
        <f t="shared" ref="M15:M77" si="1">B15</f>
        <v>本体</v>
      </c>
      <c r="N15" s="67" t="str">
        <f>C15</f>
        <v>１．金物関係費用</v>
      </c>
      <c r="O15" s="67"/>
      <c r="P15" s="67" t="str">
        <f t="shared" ref="P15:P74" si="2">E15</f>
        <v>・単管パイプ2.5m</v>
      </c>
      <c r="Q15" s="67"/>
      <c r="R15" s="67"/>
      <c r="S15" s="63">
        <f t="shared" ref="S15:T76" si="3">H15</f>
        <v>12</v>
      </c>
      <c r="T15" s="67" t="str">
        <f t="shared" si="3"/>
        <v>本</v>
      </c>
      <c r="U15" s="65">
        <f t="shared" ref="U15:U75" si="4">ROUNDDOWN(J15*$K$1,0)</f>
        <v>2023</v>
      </c>
      <c r="V15" s="66">
        <f t="shared" ref="V15:V74" si="5">ROUNDDOWN(S15*U15,0)</f>
        <v>24276</v>
      </c>
      <c r="W15" s="67">
        <f t="shared" ref="W15:W77" si="6">L15</f>
        <v>0</v>
      </c>
    </row>
    <row r="16" spans="2:23" x14ac:dyDescent="0.4">
      <c r="B16" s="60"/>
      <c r="C16" s="61"/>
      <c r="D16" s="62"/>
      <c r="E16" s="62" t="s">
        <v>36</v>
      </c>
      <c r="F16" s="62"/>
      <c r="G16" s="61"/>
      <c r="H16" s="63">
        <f>ROUNDUP($H$15,2)</f>
        <v>12</v>
      </c>
      <c r="I16" s="64" t="s">
        <v>37</v>
      </c>
      <c r="J16" s="65">
        <f>ROUNDDOWN($G$1*188,0)</f>
        <v>188</v>
      </c>
      <c r="K16" s="66">
        <f t="shared" si="0"/>
        <v>2256</v>
      </c>
      <c r="L16" s="61"/>
      <c r="M16" s="67">
        <f t="shared" si="1"/>
        <v>0</v>
      </c>
      <c r="N16" s="67">
        <f t="shared" ref="N16:N45" si="7">C16</f>
        <v>0</v>
      </c>
      <c r="O16" s="67"/>
      <c r="P16" s="67" t="str">
        <f t="shared" si="2"/>
        <v>・タルキ止めクランプ</v>
      </c>
      <c r="Q16" s="67"/>
      <c r="R16" s="67"/>
      <c r="S16" s="63">
        <f t="shared" si="3"/>
        <v>12</v>
      </c>
      <c r="T16" s="67" t="str">
        <f t="shared" si="3"/>
        <v>個</v>
      </c>
      <c r="U16" s="65">
        <f t="shared" si="4"/>
        <v>282</v>
      </c>
      <c r="V16" s="66">
        <f t="shared" si="5"/>
        <v>3384</v>
      </c>
      <c r="W16" s="67">
        <f t="shared" si="6"/>
        <v>0</v>
      </c>
    </row>
    <row r="17" spans="2:23" x14ac:dyDescent="0.4">
      <c r="B17" s="60"/>
      <c r="C17" s="61"/>
      <c r="D17" s="62"/>
      <c r="E17" s="62" t="s">
        <v>38</v>
      </c>
      <c r="F17" s="62"/>
      <c r="G17" s="61"/>
      <c r="H17" s="63">
        <f>ROUNDUP($H$15,2)</f>
        <v>12</v>
      </c>
      <c r="I17" s="64" t="s">
        <v>35</v>
      </c>
      <c r="J17" s="65">
        <f>ROUNDDOWN($G$1*1850,0)</f>
        <v>1850</v>
      </c>
      <c r="K17" s="66">
        <f t="shared" si="0"/>
        <v>22200</v>
      </c>
      <c r="L17" s="61"/>
      <c r="M17" s="67">
        <f t="shared" si="1"/>
        <v>0</v>
      </c>
      <c r="N17" s="67">
        <f t="shared" si="7"/>
        <v>0</v>
      </c>
      <c r="O17" s="67"/>
      <c r="P17" s="67" t="str">
        <f t="shared" si="2"/>
        <v>・ジャッキベース</v>
      </c>
      <c r="Q17" s="67"/>
      <c r="R17" s="67"/>
      <c r="S17" s="63">
        <f t="shared" si="3"/>
        <v>12</v>
      </c>
      <c r="T17" s="67" t="str">
        <f t="shared" si="3"/>
        <v>本</v>
      </c>
      <c r="U17" s="65">
        <f t="shared" si="4"/>
        <v>2775</v>
      </c>
      <c r="V17" s="66">
        <f t="shared" si="5"/>
        <v>33300</v>
      </c>
      <c r="W17" s="67">
        <f t="shared" si="6"/>
        <v>0</v>
      </c>
    </row>
    <row r="18" spans="2:23" x14ac:dyDescent="0.4">
      <c r="B18" s="60"/>
      <c r="C18" s="61"/>
      <c r="D18" s="62"/>
      <c r="E18" s="62" t="s">
        <v>39</v>
      </c>
      <c r="F18" s="62"/>
      <c r="G18" s="61"/>
      <c r="H18" s="63">
        <f>ROUNDUP($H$15,2)</f>
        <v>12</v>
      </c>
      <c r="I18" s="64" t="s">
        <v>40</v>
      </c>
      <c r="J18" s="65">
        <f>ROUNDDOWN($G$1*950,0)</f>
        <v>950</v>
      </c>
      <c r="K18" s="66">
        <f t="shared" si="0"/>
        <v>11400</v>
      </c>
      <c r="L18" s="61"/>
      <c r="M18" s="67">
        <f t="shared" si="1"/>
        <v>0</v>
      </c>
      <c r="N18" s="67">
        <f t="shared" si="7"/>
        <v>0</v>
      </c>
      <c r="O18" s="67"/>
      <c r="P18" s="67" t="str">
        <f t="shared" si="2"/>
        <v>・ジャッキベース用カバー</v>
      </c>
      <c r="Q18" s="67"/>
      <c r="R18" s="67"/>
      <c r="S18" s="63">
        <f t="shared" si="3"/>
        <v>12</v>
      </c>
      <c r="T18" s="67" t="str">
        <f t="shared" si="3"/>
        <v>枚</v>
      </c>
      <c r="U18" s="65">
        <f t="shared" si="4"/>
        <v>1425</v>
      </c>
      <c r="V18" s="66">
        <f t="shared" si="5"/>
        <v>17100</v>
      </c>
      <c r="W18" s="67">
        <f t="shared" si="6"/>
        <v>0</v>
      </c>
    </row>
    <row r="19" spans="2:23" x14ac:dyDescent="0.4">
      <c r="B19" s="60"/>
      <c r="C19" s="61"/>
      <c r="D19" s="62"/>
      <c r="E19" s="62" t="s">
        <v>41</v>
      </c>
      <c r="F19" s="62"/>
      <c r="G19" s="61"/>
      <c r="H19" s="63">
        <f>ROUNDUP($H$15,2)</f>
        <v>12</v>
      </c>
      <c r="I19" s="64" t="s">
        <v>40</v>
      </c>
      <c r="J19" s="65">
        <f>ROUNDDOWN($G$1*2180,0)</f>
        <v>2180</v>
      </c>
      <c r="K19" s="66">
        <f t="shared" si="0"/>
        <v>26160</v>
      </c>
      <c r="L19" s="61"/>
      <c r="M19" s="67">
        <f t="shared" si="1"/>
        <v>0</v>
      </c>
      <c r="N19" s="67">
        <f t="shared" si="7"/>
        <v>0</v>
      </c>
      <c r="O19" s="67"/>
      <c r="P19" s="67" t="str">
        <f t="shared" si="2"/>
        <v>・大型丁番＋ステンレス長ビス</v>
      </c>
      <c r="Q19" s="67"/>
      <c r="R19" s="67"/>
      <c r="S19" s="63">
        <f t="shared" si="3"/>
        <v>12</v>
      </c>
      <c r="T19" s="67" t="str">
        <f t="shared" si="3"/>
        <v>枚</v>
      </c>
      <c r="U19" s="65">
        <f t="shared" si="4"/>
        <v>3270</v>
      </c>
      <c r="V19" s="66">
        <f t="shared" si="5"/>
        <v>39240</v>
      </c>
      <c r="W19" s="67">
        <f t="shared" si="6"/>
        <v>0</v>
      </c>
    </row>
    <row r="20" spans="2:23" x14ac:dyDescent="0.4">
      <c r="B20" s="60"/>
      <c r="C20" s="61"/>
      <c r="D20" s="62"/>
      <c r="E20" s="62" t="s">
        <v>42</v>
      </c>
      <c r="F20" s="62"/>
      <c r="G20" s="61"/>
      <c r="H20" s="63">
        <f>ROUNDUP(4,2)</f>
        <v>4</v>
      </c>
      <c r="I20" s="64" t="s">
        <v>40</v>
      </c>
      <c r="J20" s="65">
        <f>ROUNDDOWN($G$1*510,0)</f>
        <v>510</v>
      </c>
      <c r="K20" s="66">
        <f t="shared" si="0"/>
        <v>2040</v>
      </c>
      <c r="L20" s="68"/>
      <c r="M20" s="67">
        <f t="shared" si="1"/>
        <v>0</v>
      </c>
      <c r="N20" s="67">
        <f t="shared" si="7"/>
        <v>0</v>
      </c>
      <c r="O20" s="67"/>
      <c r="P20" s="67" t="str">
        <f t="shared" si="2"/>
        <v>・床用補強金物</v>
      </c>
      <c r="Q20" s="67"/>
      <c r="R20" s="67"/>
      <c r="S20" s="63">
        <f t="shared" si="3"/>
        <v>4</v>
      </c>
      <c r="T20" s="67" t="str">
        <f t="shared" si="3"/>
        <v>枚</v>
      </c>
      <c r="U20" s="65">
        <f t="shared" si="4"/>
        <v>765</v>
      </c>
      <c r="V20" s="66">
        <f t="shared" si="5"/>
        <v>3060</v>
      </c>
      <c r="W20" s="67">
        <f t="shared" si="6"/>
        <v>0</v>
      </c>
    </row>
    <row r="21" spans="2:23" x14ac:dyDescent="0.4">
      <c r="B21" s="60"/>
      <c r="C21" s="61"/>
      <c r="D21" s="62"/>
      <c r="E21" s="62" t="s">
        <v>43</v>
      </c>
      <c r="F21" s="62"/>
      <c r="G21" s="61"/>
      <c r="H21" s="63">
        <f>ROUNDUP(4,2)</f>
        <v>4</v>
      </c>
      <c r="I21" s="64" t="s">
        <v>40</v>
      </c>
      <c r="J21" s="65">
        <f>ROUNDDOWN($G$1*510,0)</f>
        <v>510</v>
      </c>
      <c r="K21" s="66">
        <f t="shared" si="0"/>
        <v>2040</v>
      </c>
      <c r="L21" s="68">
        <f>SUM(K15:K21)</f>
        <v>82284</v>
      </c>
      <c r="M21" s="67">
        <f t="shared" si="1"/>
        <v>0</v>
      </c>
      <c r="N21" s="67">
        <f t="shared" si="7"/>
        <v>0</v>
      </c>
      <c r="O21" s="67"/>
      <c r="P21" s="67" t="str">
        <f t="shared" si="2"/>
        <v>・その他の金物</v>
      </c>
      <c r="Q21" s="67"/>
      <c r="R21" s="67"/>
      <c r="S21" s="63">
        <f t="shared" si="3"/>
        <v>4</v>
      </c>
      <c r="T21" s="67" t="str">
        <f t="shared" si="3"/>
        <v>枚</v>
      </c>
      <c r="U21" s="65">
        <f t="shared" si="4"/>
        <v>765</v>
      </c>
      <c r="V21" s="66">
        <f t="shared" si="5"/>
        <v>3060</v>
      </c>
      <c r="W21" s="67">
        <f t="shared" si="6"/>
        <v>82284</v>
      </c>
    </row>
    <row r="22" spans="2:23" s="122" customFormat="1" x14ac:dyDescent="0.4">
      <c r="B22" s="112" t="s">
        <v>106</v>
      </c>
      <c r="C22" s="112" t="s">
        <v>107</v>
      </c>
      <c r="D22" s="113"/>
      <c r="E22" s="113" t="s">
        <v>44</v>
      </c>
      <c r="F22" s="113"/>
      <c r="G22" s="114"/>
      <c r="H22" s="115">
        <f>ROUNDUP(23*2,2)</f>
        <v>46</v>
      </c>
      <c r="I22" s="116" t="s">
        <v>35</v>
      </c>
      <c r="J22" s="117">
        <f>ROUNDDOWN($G$1*635,0)</f>
        <v>635</v>
      </c>
      <c r="K22" s="118">
        <f t="shared" si="0"/>
        <v>29210</v>
      </c>
      <c r="L22" s="114" t="s">
        <v>45</v>
      </c>
      <c r="M22" s="119" t="str">
        <f t="shared" si="1"/>
        <v>本体</v>
      </c>
      <c r="N22" s="67" t="str">
        <f t="shared" si="7"/>
        <v>２．プレカット</v>
      </c>
      <c r="O22" s="119"/>
      <c r="P22" s="119" t="str">
        <f t="shared" si="2"/>
        <v>・204材L=6f</v>
      </c>
      <c r="Q22" s="119"/>
      <c r="R22" s="119"/>
      <c r="S22" s="115">
        <f t="shared" si="3"/>
        <v>46</v>
      </c>
      <c r="T22" s="119" t="str">
        <f t="shared" si="3"/>
        <v>本</v>
      </c>
      <c r="U22" s="117">
        <f t="shared" si="4"/>
        <v>952</v>
      </c>
      <c r="V22" s="118">
        <f t="shared" si="5"/>
        <v>43792</v>
      </c>
      <c r="W22" s="119" t="str">
        <f t="shared" si="6"/>
        <v>床天井根太</v>
      </c>
    </row>
    <row r="23" spans="2:23" s="122" customFormat="1" x14ac:dyDescent="0.4">
      <c r="B23" s="112"/>
      <c r="C23" s="114" t="s">
        <v>108</v>
      </c>
      <c r="D23" s="113"/>
      <c r="E23" s="113" t="s">
        <v>46</v>
      </c>
      <c r="F23" s="113"/>
      <c r="G23" s="114"/>
      <c r="H23" s="115">
        <f>ROUNDUP(58,2)</f>
        <v>58</v>
      </c>
      <c r="I23" s="116" t="s">
        <v>35</v>
      </c>
      <c r="J23" s="117">
        <f>ROUNDDOWN($G$1*635/6*8,0)</f>
        <v>846</v>
      </c>
      <c r="K23" s="118">
        <f t="shared" si="0"/>
        <v>49068</v>
      </c>
      <c r="L23" s="114" t="s">
        <v>47</v>
      </c>
      <c r="M23" s="119">
        <f t="shared" si="1"/>
        <v>0</v>
      </c>
      <c r="N23" s="67" t="str">
        <f t="shared" si="7"/>
        <v>　（木材費）</v>
      </c>
      <c r="O23" s="119"/>
      <c r="P23" s="119" t="str">
        <f t="shared" si="2"/>
        <v>・204材L=8f</v>
      </c>
      <c r="Q23" s="119"/>
      <c r="R23" s="119"/>
      <c r="S23" s="115">
        <f t="shared" si="3"/>
        <v>58</v>
      </c>
      <c r="T23" s="119" t="str">
        <f t="shared" si="3"/>
        <v>本</v>
      </c>
      <c r="U23" s="117">
        <f t="shared" si="4"/>
        <v>1269</v>
      </c>
      <c r="V23" s="118">
        <f t="shared" si="5"/>
        <v>73602</v>
      </c>
      <c r="W23" s="119" t="str">
        <f t="shared" si="6"/>
        <v>壁用</v>
      </c>
    </row>
    <row r="24" spans="2:23" s="122" customFormat="1" x14ac:dyDescent="0.4">
      <c r="B24" s="112"/>
      <c r="C24" s="114"/>
      <c r="D24" s="113"/>
      <c r="E24" s="113" t="s">
        <v>48</v>
      </c>
      <c r="F24" s="113"/>
      <c r="G24" s="114"/>
      <c r="H24" s="115">
        <f>ROUNDUP(8,2)</f>
        <v>8</v>
      </c>
      <c r="I24" s="116" t="s">
        <v>35</v>
      </c>
      <c r="J24" s="117">
        <f>ROUNDDOWN($G$1*635/6*12,0)</f>
        <v>1270</v>
      </c>
      <c r="K24" s="118">
        <f t="shared" si="0"/>
        <v>10160</v>
      </c>
      <c r="L24" s="114" t="s">
        <v>49</v>
      </c>
      <c r="M24" s="119">
        <f t="shared" si="1"/>
        <v>0</v>
      </c>
      <c r="N24" s="67">
        <f t="shared" si="7"/>
        <v>0</v>
      </c>
      <c r="O24" s="119"/>
      <c r="P24" s="119" t="str">
        <f t="shared" si="2"/>
        <v>・204材L=12f</v>
      </c>
      <c r="Q24" s="119"/>
      <c r="R24" s="119"/>
      <c r="S24" s="115">
        <f t="shared" si="3"/>
        <v>8</v>
      </c>
      <c r="T24" s="119" t="str">
        <f t="shared" si="3"/>
        <v>本</v>
      </c>
      <c r="U24" s="117">
        <f t="shared" si="4"/>
        <v>1905</v>
      </c>
      <c r="V24" s="118">
        <f t="shared" si="5"/>
        <v>15240</v>
      </c>
      <c r="W24" s="119" t="str">
        <f t="shared" si="6"/>
        <v>上下枠根太破風</v>
      </c>
    </row>
    <row r="25" spans="2:23" s="122" customFormat="1" x14ac:dyDescent="0.4">
      <c r="B25" s="112"/>
      <c r="C25" s="114"/>
      <c r="D25" s="113"/>
      <c r="E25" s="113" t="s">
        <v>50</v>
      </c>
      <c r="F25" s="113"/>
      <c r="G25" s="114"/>
      <c r="H25" s="115">
        <f>ROUNDUP(20,2)</f>
        <v>20</v>
      </c>
      <c r="I25" s="116" t="s">
        <v>35</v>
      </c>
      <c r="J25" s="117">
        <f>ROUNDDOWN($G$1*635/6*16,0)</f>
        <v>1693</v>
      </c>
      <c r="K25" s="118">
        <f t="shared" si="0"/>
        <v>33860</v>
      </c>
      <c r="L25" s="114" t="s">
        <v>51</v>
      </c>
      <c r="M25" s="119">
        <f t="shared" si="1"/>
        <v>0</v>
      </c>
      <c r="N25" s="67">
        <f t="shared" si="7"/>
        <v>0</v>
      </c>
      <c r="O25" s="119"/>
      <c r="P25" s="119" t="str">
        <f t="shared" si="2"/>
        <v>・204材L=16f</v>
      </c>
      <c r="Q25" s="119"/>
      <c r="R25" s="119"/>
      <c r="S25" s="115">
        <f t="shared" si="3"/>
        <v>20</v>
      </c>
      <c r="T25" s="119" t="str">
        <f t="shared" si="3"/>
        <v>本</v>
      </c>
      <c r="U25" s="117">
        <f t="shared" si="4"/>
        <v>2539</v>
      </c>
      <c r="V25" s="118">
        <f t="shared" si="5"/>
        <v>50780</v>
      </c>
      <c r="W25" s="119" t="str">
        <f t="shared" si="6"/>
        <v>同上</v>
      </c>
    </row>
    <row r="26" spans="2:23" s="122" customFormat="1" x14ac:dyDescent="0.4">
      <c r="B26" s="112"/>
      <c r="C26" s="114"/>
      <c r="D26" s="113"/>
      <c r="E26" s="113" t="s">
        <v>48</v>
      </c>
      <c r="F26" s="113"/>
      <c r="G26" s="114"/>
      <c r="H26" s="115">
        <f>ROUNDUP(13,2)</f>
        <v>13</v>
      </c>
      <c r="I26" s="116" t="s">
        <v>35</v>
      </c>
      <c r="J26" s="117">
        <f>ROUNDDOWN($G$1*635/6*12,0)</f>
        <v>1270</v>
      </c>
      <c r="K26" s="118">
        <f t="shared" si="0"/>
        <v>16510</v>
      </c>
      <c r="L26" s="114" t="s">
        <v>52</v>
      </c>
      <c r="M26" s="119">
        <f t="shared" si="1"/>
        <v>0</v>
      </c>
      <c r="N26" s="67">
        <f t="shared" si="7"/>
        <v>0</v>
      </c>
      <c r="O26" s="119"/>
      <c r="P26" s="119" t="str">
        <f t="shared" si="2"/>
        <v>・204材L=12f</v>
      </c>
      <c r="Q26" s="119"/>
      <c r="R26" s="119"/>
      <c r="S26" s="115">
        <f t="shared" si="3"/>
        <v>13</v>
      </c>
      <c r="T26" s="119" t="str">
        <f t="shared" si="3"/>
        <v>本</v>
      </c>
      <c r="U26" s="117">
        <f t="shared" si="4"/>
        <v>1905</v>
      </c>
      <c r="V26" s="118">
        <f t="shared" si="5"/>
        <v>24765</v>
      </c>
      <c r="W26" s="119" t="str">
        <f t="shared" si="6"/>
        <v>屋根タルキ</v>
      </c>
    </row>
    <row r="27" spans="2:23" s="122" customFormat="1" x14ac:dyDescent="0.4">
      <c r="B27" s="112"/>
      <c r="C27" s="114"/>
      <c r="D27" s="113"/>
      <c r="E27" s="113" t="s">
        <v>53</v>
      </c>
      <c r="F27" s="113"/>
      <c r="G27" s="114"/>
      <c r="H27" s="115">
        <f>ROUNDUP(12+6,2)</f>
        <v>18</v>
      </c>
      <c r="I27" s="116" t="s">
        <v>35</v>
      </c>
      <c r="J27" s="117">
        <f>ROUNDDOWN($G$1*362,0)</f>
        <v>362</v>
      </c>
      <c r="K27" s="118">
        <f>ROUNDDOWN(H27*J27,0)</f>
        <v>6516</v>
      </c>
      <c r="L27" s="121"/>
      <c r="M27" s="119">
        <f>B27</f>
        <v>0</v>
      </c>
      <c r="N27" s="67">
        <f t="shared" si="7"/>
        <v>0</v>
      </c>
      <c r="O27" s="119"/>
      <c r="P27" s="119" t="str">
        <f>E27</f>
        <v>・104材柱パイプ囲み用</v>
      </c>
      <c r="Q27" s="119"/>
      <c r="R27" s="119"/>
      <c r="S27" s="115">
        <f t="shared" si="3"/>
        <v>18</v>
      </c>
      <c r="T27" s="119" t="str">
        <f t="shared" si="3"/>
        <v>本</v>
      </c>
      <c r="U27" s="117">
        <f>ROUNDDOWN(J27*$K$1,0)</f>
        <v>543</v>
      </c>
      <c r="V27" s="118">
        <f>ROUNDDOWN(S27*U27,0)</f>
        <v>9774</v>
      </c>
      <c r="W27" s="119">
        <f>L27</f>
        <v>0</v>
      </c>
    </row>
    <row r="28" spans="2:23" s="122" customFormat="1" x14ac:dyDescent="0.4">
      <c r="B28" s="112"/>
      <c r="C28" s="114"/>
      <c r="D28" s="113"/>
      <c r="E28" s="113" t="s">
        <v>111</v>
      </c>
      <c r="F28" s="113"/>
      <c r="G28" s="114"/>
      <c r="H28" s="115">
        <v>5</v>
      </c>
      <c r="I28" s="116" t="s">
        <v>94</v>
      </c>
      <c r="J28" s="117">
        <v>25000</v>
      </c>
      <c r="K28" s="118">
        <f>ROUNDDOWN(H28*J28,0)</f>
        <v>125000</v>
      </c>
      <c r="L28" s="160">
        <f>SUM(K22:K28)</f>
        <v>270324</v>
      </c>
      <c r="M28" s="119">
        <f>B28</f>
        <v>0</v>
      </c>
      <c r="N28" s="67">
        <f t="shared" si="7"/>
        <v>0</v>
      </c>
      <c r="O28" s="119"/>
      <c r="P28" s="119" t="str">
        <f>E28</f>
        <v>・本体組立費</v>
      </c>
      <c r="Q28" s="119"/>
      <c r="R28" s="119"/>
      <c r="S28" s="115">
        <f t="shared" si="3"/>
        <v>5</v>
      </c>
      <c r="T28" s="119" t="str">
        <f t="shared" si="3"/>
        <v>人</v>
      </c>
      <c r="U28" s="117">
        <f>ROUNDDOWN(J28*$K$1,0)</f>
        <v>37500</v>
      </c>
      <c r="V28" s="118">
        <f>ROUNDDOWN(S28*U28,0)</f>
        <v>187500</v>
      </c>
      <c r="W28" s="160">
        <f>SUM(V22:V28)</f>
        <v>405453</v>
      </c>
    </row>
    <row r="29" spans="2:23" x14ac:dyDescent="0.4">
      <c r="B29" s="60" t="s">
        <v>106</v>
      </c>
      <c r="C29" s="60" t="s">
        <v>54</v>
      </c>
      <c r="D29" s="62"/>
      <c r="E29" s="62" t="s">
        <v>55</v>
      </c>
      <c r="F29" s="62"/>
      <c r="G29" s="61"/>
      <c r="H29" s="63">
        <f>ROUNDUP(4*2+5*2,2)</f>
        <v>18</v>
      </c>
      <c r="I29" s="64" t="s">
        <v>40</v>
      </c>
      <c r="J29" s="65">
        <f>ROUNDDOWN($G$1*1528/6*8,0)</f>
        <v>2037</v>
      </c>
      <c r="K29" s="66">
        <f>ROUNDDOWN(H29*J29,0)</f>
        <v>36666</v>
      </c>
      <c r="L29" s="61"/>
      <c r="M29" s="67" t="str">
        <f>B29</f>
        <v>本体</v>
      </c>
      <c r="N29" s="67" t="str">
        <f t="shared" si="7"/>
        <v>３．外部面材等</v>
      </c>
      <c r="O29" s="67"/>
      <c r="P29" s="67" t="str">
        <f>E29</f>
        <v>・OSB合板9×910×2,420</v>
      </c>
      <c r="Q29" s="67"/>
      <c r="R29" s="67"/>
      <c r="S29" s="63">
        <f t="shared" si="3"/>
        <v>18</v>
      </c>
      <c r="T29" s="67" t="str">
        <f t="shared" si="3"/>
        <v>枚</v>
      </c>
      <c r="U29" s="65">
        <f t="shared" ref="U29:U63" si="8">ROUNDDOWN(J29*$K$1,0)</f>
        <v>3055</v>
      </c>
      <c r="V29" s="66">
        <f>ROUNDDOWN(S29*U29,0)</f>
        <v>54990</v>
      </c>
      <c r="W29" s="67">
        <f>L29</f>
        <v>0</v>
      </c>
    </row>
    <row r="30" spans="2:23" x14ac:dyDescent="0.4">
      <c r="B30" s="60"/>
      <c r="C30" s="61"/>
      <c r="D30" s="62"/>
      <c r="E30" s="62" t="s">
        <v>56</v>
      </c>
      <c r="F30" s="62"/>
      <c r="G30" s="61"/>
      <c r="H30" s="63">
        <f>ROUNDUP(3.64*4.55/1.82/0.91+2,2)</f>
        <v>12</v>
      </c>
      <c r="I30" s="64" t="s">
        <v>40</v>
      </c>
      <c r="J30" s="65">
        <f>ROUNDDOWN($G$1*1528,0)</f>
        <v>1528</v>
      </c>
      <c r="K30" s="66">
        <f>ROUNDDOWN(H30*J30,0)</f>
        <v>18336</v>
      </c>
      <c r="L30" s="61"/>
      <c r="M30" s="67">
        <f>B30</f>
        <v>0</v>
      </c>
      <c r="N30" s="67">
        <f t="shared" si="7"/>
        <v>0</v>
      </c>
      <c r="O30" s="67"/>
      <c r="P30" s="67" t="str">
        <f>E30</f>
        <v>・OSB合板9×910×1,820</v>
      </c>
      <c r="Q30" s="67"/>
      <c r="R30" s="67"/>
      <c r="S30" s="63">
        <f t="shared" si="3"/>
        <v>12</v>
      </c>
      <c r="T30" s="67" t="str">
        <f t="shared" si="3"/>
        <v>枚</v>
      </c>
      <c r="U30" s="65">
        <f t="shared" si="8"/>
        <v>2292</v>
      </c>
      <c r="V30" s="66">
        <f>ROUNDDOWN(S30*U30,0)</f>
        <v>27504</v>
      </c>
      <c r="W30" s="67">
        <f>L30</f>
        <v>0</v>
      </c>
    </row>
    <row r="31" spans="2:23" x14ac:dyDescent="0.4">
      <c r="B31" s="60"/>
      <c r="C31" s="61"/>
      <c r="D31" s="62"/>
      <c r="E31" s="62" t="s">
        <v>57</v>
      </c>
      <c r="F31" s="62"/>
      <c r="G31" s="61"/>
      <c r="H31" s="63">
        <f>ROUNDUP((3.64+4.55)*2*3/50,0)</f>
        <v>1</v>
      </c>
      <c r="I31" s="64" t="s">
        <v>35</v>
      </c>
      <c r="J31" s="65">
        <f>ROUNDDOWN($G$1*1200,0)</f>
        <v>1200</v>
      </c>
      <c r="K31" s="66">
        <f>ROUNDDOWN(H31*J31,0)</f>
        <v>1200</v>
      </c>
      <c r="L31" s="68"/>
      <c r="M31" s="67">
        <f>B31</f>
        <v>0</v>
      </c>
      <c r="N31" s="67">
        <f t="shared" si="7"/>
        <v>0</v>
      </c>
      <c r="O31" s="67"/>
      <c r="P31" s="67" t="str">
        <f>E31</f>
        <v>・防湿シート50m巻き</v>
      </c>
      <c r="Q31" s="67"/>
      <c r="R31" s="67"/>
      <c r="S31" s="63">
        <f t="shared" si="3"/>
        <v>1</v>
      </c>
      <c r="T31" s="67" t="str">
        <f t="shared" si="3"/>
        <v>本</v>
      </c>
      <c r="U31" s="65">
        <f t="shared" si="8"/>
        <v>1800</v>
      </c>
      <c r="V31" s="66">
        <f>ROUNDDOWN(S31*U31,0)</f>
        <v>1800</v>
      </c>
      <c r="W31" s="67">
        <f>L31</f>
        <v>0</v>
      </c>
    </row>
    <row r="32" spans="2:23" x14ac:dyDescent="0.4">
      <c r="B32" s="60"/>
      <c r="C32" s="61"/>
      <c r="D32" s="62"/>
      <c r="E32" s="62" t="s">
        <v>112</v>
      </c>
      <c r="F32" s="62"/>
      <c r="G32" s="61"/>
      <c r="H32" s="63">
        <v>1</v>
      </c>
      <c r="I32" s="64" t="s">
        <v>94</v>
      </c>
      <c r="J32" s="117">
        <v>25000</v>
      </c>
      <c r="K32" s="66">
        <f>ROUNDDOWN(H32*J32,0)</f>
        <v>25000</v>
      </c>
      <c r="L32" s="160">
        <f>SUM(K29:K32)</f>
        <v>81202</v>
      </c>
      <c r="M32" s="67">
        <f>B32</f>
        <v>0</v>
      </c>
      <c r="N32" s="67">
        <f t="shared" si="7"/>
        <v>0</v>
      </c>
      <c r="O32" s="67"/>
      <c r="P32" s="67" t="str">
        <f>E32</f>
        <v>・合板施工費</v>
      </c>
      <c r="Q32" s="67"/>
      <c r="R32" s="67"/>
      <c r="S32" s="63">
        <f t="shared" si="3"/>
        <v>1</v>
      </c>
      <c r="T32" s="67" t="str">
        <f t="shared" si="3"/>
        <v>人</v>
      </c>
      <c r="U32" s="65">
        <f t="shared" si="8"/>
        <v>37500</v>
      </c>
      <c r="V32" s="66">
        <f>ROUNDDOWN(S32*U32,0)</f>
        <v>37500</v>
      </c>
      <c r="W32" s="160">
        <f>SUM(V29:V32)</f>
        <v>121794</v>
      </c>
    </row>
    <row r="33" spans="2:23" x14ac:dyDescent="0.4">
      <c r="B33" s="112" t="s">
        <v>106</v>
      </c>
      <c r="C33" s="112" t="s">
        <v>66</v>
      </c>
      <c r="D33" s="114"/>
      <c r="E33" s="114" t="s">
        <v>156</v>
      </c>
      <c r="F33" s="114"/>
      <c r="G33" s="120"/>
      <c r="H33" s="115">
        <f>ROUNDUP(3.9*4.8/3.3124,2)</f>
        <v>5.66</v>
      </c>
      <c r="I33" s="116" t="s">
        <v>155</v>
      </c>
      <c r="J33" s="117">
        <f>ROUNDDOWN($G$1*2300,0)</f>
        <v>2300</v>
      </c>
      <c r="K33" s="118">
        <f t="shared" ref="K33:K59" si="9">ROUNDDOWN(H33*J33,0)</f>
        <v>13018</v>
      </c>
      <c r="L33" s="114"/>
      <c r="M33" s="119" t="str">
        <f t="shared" ref="M33:N53" si="10">B33</f>
        <v>本体</v>
      </c>
      <c r="N33" s="67" t="str">
        <f t="shared" si="7"/>
        <v>５．断熱材</v>
      </c>
      <c r="O33" s="119"/>
      <c r="P33" s="119" t="str">
        <f t="shared" ref="P33:P53" si="11">E33</f>
        <v>・床グラスウール90㎜</v>
      </c>
      <c r="Q33" s="119"/>
      <c r="R33" s="119"/>
      <c r="S33" s="115">
        <f t="shared" si="3"/>
        <v>5.66</v>
      </c>
      <c r="T33" s="119" t="str">
        <f t="shared" si="3"/>
        <v>坪</v>
      </c>
      <c r="U33" s="117">
        <f t="shared" si="8"/>
        <v>3450</v>
      </c>
      <c r="V33" s="118">
        <f t="shared" ref="V33:V53" si="12">ROUNDDOWN(S33*U33,0)</f>
        <v>19527</v>
      </c>
      <c r="W33" s="119">
        <f t="shared" ref="W33:W53" si="13">L33</f>
        <v>0</v>
      </c>
    </row>
    <row r="34" spans="2:23" x14ac:dyDescent="0.4">
      <c r="B34" s="112"/>
      <c r="C34" s="114"/>
      <c r="D34" s="113"/>
      <c r="E34" s="114" t="s">
        <v>157</v>
      </c>
      <c r="F34" s="113"/>
      <c r="G34" s="114"/>
      <c r="H34" s="115">
        <f>ROUNDUP((3.9+4.8)*2*2.2/3.3124,0)</f>
        <v>12</v>
      </c>
      <c r="I34" s="116" t="s">
        <v>155</v>
      </c>
      <c r="J34" s="117">
        <f>ROUNDDOWN($G$1*2300,0)</f>
        <v>2300</v>
      </c>
      <c r="K34" s="118">
        <f t="shared" si="9"/>
        <v>27600</v>
      </c>
      <c r="L34" s="114"/>
      <c r="M34" s="119">
        <f t="shared" si="10"/>
        <v>0</v>
      </c>
      <c r="N34" s="67">
        <f t="shared" si="7"/>
        <v>0</v>
      </c>
      <c r="O34" s="119"/>
      <c r="P34" s="119" t="str">
        <f t="shared" si="11"/>
        <v>・壁グラスウール91㎜</v>
      </c>
      <c r="Q34" s="119"/>
      <c r="R34" s="119"/>
      <c r="S34" s="115">
        <f t="shared" si="3"/>
        <v>12</v>
      </c>
      <c r="T34" s="119" t="str">
        <f t="shared" si="3"/>
        <v>坪</v>
      </c>
      <c r="U34" s="117">
        <f t="shared" si="8"/>
        <v>3450</v>
      </c>
      <c r="V34" s="118">
        <f t="shared" si="12"/>
        <v>41400</v>
      </c>
      <c r="W34" s="119">
        <f t="shared" si="13"/>
        <v>0</v>
      </c>
    </row>
    <row r="35" spans="2:23" x14ac:dyDescent="0.4">
      <c r="B35" s="112"/>
      <c r="C35" s="114"/>
      <c r="D35" s="113"/>
      <c r="E35" s="114" t="s">
        <v>158</v>
      </c>
      <c r="F35" s="113"/>
      <c r="G35" s="114"/>
      <c r="H35" s="115">
        <f>ROUNDUP(10,2)</f>
        <v>10</v>
      </c>
      <c r="I35" s="116" t="s">
        <v>155</v>
      </c>
      <c r="J35" s="117">
        <f>ROUNDDOWN($G$1*2300,0)</f>
        <v>2300</v>
      </c>
      <c r="K35" s="118">
        <f t="shared" si="9"/>
        <v>23000</v>
      </c>
      <c r="L35" s="160">
        <f>SUM(K33:K35)</f>
        <v>63618</v>
      </c>
      <c r="M35" s="119">
        <f t="shared" si="10"/>
        <v>0</v>
      </c>
      <c r="N35" s="67">
        <f t="shared" si="7"/>
        <v>0</v>
      </c>
      <c r="O35" s="119"/>
      <c r="P35" s="119" t="str">
        <f t="shared" si="11"/>
        <v>・天井グラスウール92㎜</v>
      </c>
      <c r="Q35" s="119"/>
      <c r="R35" s="119"/>
      <c r="S35" s="115">
        <f t="shared" si="3"/>
        <v>10</v>
      </c>
      <c r="T35" s="119" t="str">
        <f t="shared" si="3"/>
        <v>坪</v>
      </c>
      <c r="U35" s="117">
        <f t="shared" si="8"/>
        <v>3450</v>
      </c>
      <c r="V35" s="118">
        <f t="shared" si="12"/>
        <v>34500</v>
      </c>
      <c r="W35" s="160">
        <f>SUM(V33:V35)</f>
        <v>95427</v>
      </c>
    </row>
    <row r="36" spans="2:23" x14ac:dyDescent="0.4">
      <c r="B36" s="112" t="s">
        <v>106</v>
      </c>
      <c r="C36" s="112" t="s">
        <v>109</v>
      </c>
      <c r="D36" s="113"/>
      <c r="E36" s="114" t="s">
        <v>58</v>
      </c>
      <c r="F36" s="113"/>
      <c r="G36" s="114"/>
      <c r="H36" s="115">
        <f>ROUNDUP(5*4.5,0)</f>
        <v>23</v>
      </c>
      <c r="I36" s="116" t="s">
        <v>113</v>
      </c>
      <c r="J36" s="117">
        <f>ROUNDDOWN($G$1*2300,0)</f>
        <v>2300</v>
      </c>
      <c r="K36" s="118">
        <f>ROUNDDOWN(H36*J36,0)</f>
        <v>52900</v>
      </c>
      <c r="L36" s="114" t="s">
        <v>60</v>
      </c>
      <c r="M36" s="119" t="str">
        <f>B36</f>
        <v>本体</v>
      </c>
      <c r="N36" s="67" t="str">
        <f t="shared" si="7"/>
        <v>４．屋根外壁工事</v>
      </c>
      <c r="O36" s="119"/>
      <c r="P36" s="119" t="str">
        <f>E36</f>
        <v>・屋根ガルバニュウム鋼板</v>
      </c>
      <c r="Q36" s="119"/>
      <c r="R36" s="119"/>
      <c r="S36" s="115">
        <f>H36</f>
        <v>23</v>
      </c>
      <c r="T36" s="119" t="str">
        <f>I36</f>
        <v>㎡</v>
      </c>
      <c r="U36" s="117">
        <f>ROUNDDOWN(J36*$K$1,0)</f>
        <v>3450</v>
      </c>
      <c r="V36" s="118">
        <f>ROUNDDOWN(S36*U36,0)</f>
        <v>79350</v>
      </c>
      <c r="W36" s="119" t="str">
        <f>L36</f>
        <v>4.5m×5本 素地</v>
      </c>
    </row>
    <row r="37" spans="2:23" x14ac:dyDescent="0.4">
      <c r="B37" s="112" t="s">
        <v>61</v>
      </c>
      <c r="C37" s="114" t="s">
        <v>110</v>
      </c>
      <c r="D37" s="113"/>
      <c r="E37" s="113" t="s">
        <v>62</v>
      </c>
      <c r="F37" s="113"/>
      <c r="G37" s="114"/>
      <c r="H37" s="115">
        <v>5</v>
      </c>
      <c r="I37" s="116" t="s">
        <v>35</v>
      </c>
      <c r="J37" s="117">
        <f>ROUNDDOWN($G$1*1500,0)</f>
        <v>1500</v>
      </c>
      <c r="K37" s="118">
        <f>ROUNDDOWN(H37*J37,0)</f>
        <v>7500</v>
      </c>
      <c r="L37" s="114" t="s">
        <v>63</v>
      </c>
      <c r="M37" s="119" t="str">
        <f>B37</f>
        <v>　</v>
      </c>
      <c r="N37" s="67" t="str">
        <f t="shared" si="7"/>
        <v>　（ガルバ色洗濯可能）</v>
      </c>
      <c r="O37" s="119"/>
      <c r="P37" s="119" t="str">
        <f>E37</f>
        <v>・取外し水切り糸長150㎜４ｍ</v>
      </c>
      <c r="Q37" s="119"/>
      <c r="R37" s="119"/>
      <c r="S37" s="115">
        <f>H37</f>
        <v>5</v>
      </c>
      <c r="T37" s="119" t="str">
        <f>I37</f>
        <v>本</v>
      </c>
      <c r="U37" s="117">
        <f>ROUNDDOWN(J37*$K$1,0)</f>
        <v>2250</v>
      </c>
      <c r="V37" s="118">
        <f>ROUNDDOWN(S37*U37,0)</f>
        <v>11250</v>
      </c>
      <c r="W37" s="119" t="str">
        <f>L37</f>
        <v>L=2,300㎜</v>
      </c>
    </row>
    <row r="38" spans="2:23" x14ac:dyDescent="0.4">
      <c r="B38" s="112"/>
      <c r="C38" s="114"/>
      <c r="D38" s="113"/>
      <c r="E38" s="113" t="s">
        <v>114</v>
      </c>
      <c r="F38" s="113"/>
      <c r="G38" s="114"/>
      <c r="H38" s="115">
        <f>ROUNDUP((4.8+3.9)*2*2.3,0)</f>
        <v>41</v>
      </c>
      <c r="I38" s="116" t="s">
        <v>113</v>
      </c>
      <c r="J38" s="117">
        <f>ROUNDDOWN($G$1*6500,0)</f>
        <v>6500</v>
      </c>
      <c r="K38" s="118">
        <f>ROUNDDOWN(H38*J38,0)</f>
        <v>266500</v>
      </c>
      <c r="L38" s="114" t="s">
        <v>63</v>
      </c>
      <c r="M38" s="119">
        <f>B38</f>
        <v>0</v>
      </c>
      <c r="N38" s="67">
        <f t="shared" si="7"/>
        <v>0</v>
      </c>
      <c r="O38" s="119"/>
      <c r="P38" s="119" t="str">
        <f>E38</f>
        <v>・外壁角スパンガルバ鋼板</v>
      </c>
      <c r="Q38" s="119"/>
      <c r="R38" s="119"/>
      <c r="S38" s="115">
        <f>H38</f>
        <v>41</v>
      </c>
      <c r="T38" s="119" t="str">
        <f>I38</f>
        <v>㎡</v>
      </c>
      <c r="U38" s="117">
        <f>ROUNDDOWN(J38*$K$1,0)</f>
        <v>9750</v>
      </c>
      <c r="V38" s="118">
        <f>ROUNDDOWN(S38*U38,0)</f>
        <v>399750</v>
      </c>
      <c r="W38" s="119" t="str">
        <f>L38</f>
        <v>L=2,300㎜</v>
      </c>
    </row>
    <row r="39" spans="2:23" x14ac:dyDescent="0.4">
      <c r="B39" s="112"/>
      <c r="C39" s="114"/>
      <c r="D39" s="114"/>
      <c r="E39" s="114" t="s">
        <v>64</v>
      </c>
      <c r="F39" s="114"/>
      <c r="G39" s="120"/>
      <c r="H39" s="115">
        <f>ROUNDUP(6,2)</f>
        <v>6</v>
      </c>
      <c r="I39" s="116" t="s">
        <v>35</v>
      </c>
      <c r="J39" s="117">
        <f>ROUNDDOWN($G$1*3500,0)</f>
        <v>3500</v>
      </c>
      <c r="K39" s="118">
        <f>ROUNDDOWN(H39*J39,0)</f>
        <v>21000</v>
      </c>
      <c r="L39" s="114"/>
      <c r="M39" s="119">
        <f>B39</f>
        <v>0</v>
      </c>
      <c r="N39" s="67">
        <f t="shared" si="7"/>
        <v>0</v>
      </c>
      <c r="O39" s="119"/>
      <c r="P39" s="119" t="str">
        <f>E39</f>
        <v>・唐草下がり40㎜L=3m</v>
      </c>
      <c r="Q39" s="119"/>
      <c r="R39" s="119"/>
      <c r="S39" s="115">
        <f>H39</f>
        <v>6</v>
      </c>
      <c r="T39" s="119" t="str">
        <f>I39</f>
        <v>本</v>
      </c>
      <c r="U39" s="117">
        <f>ROUNDDOWN(J39*$K$1,0)</f>
        <v>5250</v>
      </c>
      <c r="V39" s="118">
        <f>ROUNDDOWN(S39*U39,0)</f>
        <v>31500</v>
      </c>
      <c r="W39" s="119">
        <f>L39</f>
        <v>0</v>
      </c>
    </row>
    <row r="40" spans="2:23" x14ac:dyDescent="0.4">
      <c r="B40" s="112"/>
      <c r="C40" s="114"/>
      <c r="D40" s="113"/>
      <c r="E40" s="113" t="s">
        <v>65</v>
      </c>
      <c r="F40" s="113"/>
      <c r="G40" s="114"/>
      <c r="H40" s="115">
        <f>ROUNDUP(4*5,2)</f>
        <v>20</v>
      </c>
      <c r="I40" s="116" t="s">
        <v>113</v>
      </c>
      <c r="J40" s="117">
        <f>ROUNDDOWN($G$1*1500,0)</f>
        <v>1500</v>
      </c>
      <c r="K40" s="118">
        <f>ROUNDDOWN(H40*J40,0)</f>
        <v>30000</v>
      </c>
      <c r="L40" s="114"/>
      <c r="M40" s="119">
        <f>B40</f>
        <v>0</v>
      </c>
      <c r="N40" s="67">
        <f t="shared" si="7"/>
        <v>0</v>
      </c>
      <c r="O40" s="119"/>
      <c r="P40" s="119" t="str">
        <f>E40</f>
        <v>・床下用ガルバニュウム鋼板</v>
      </c>
      <c r="Q40" s="119"/>
      <c r="R40" s="119"/>
      <c r="S40" s="115">
        <f>H40</f>
        <v>20</v>
      </c>
      <c r="T40" s="119" t="str">
        <f>I40</f>
        <v>㎡</v>
      </c>
      <c r="U40" s="117">
        <f>ROUNDDOWN(J40*$K$1,0)</f>
        <v>2250</v>
      </c>
      <c r="V40" s="118">
        <f>ROUNDDOWN(S40*U40,0)</f>
        <v>45000</v>
      </c>
      <c r="W40" s="119">
        <f>L40</f>
        <v>0</v>
      </c>
    </row>
    <row r="41" spans="2:23" x14ac:dyDescent="0.4">
      <c r="B41" s="112"/>
      <c r="C41" s="114"/>
      <c r="D41" s="113"/>
      <c r="E41" s="113" t="s">
        <v>116</v>
      </c>
      <c r="F41" s="113"/>
      <c r="G41" s="114"/>
      <c r="H41" s="115">
        <f>ROUNDUP(4*2.2*2,2)</f>
        <v>17.600000000000001</v>
      </c>
      <c r="I41" s="116" t="s">
        <v>113</v>
      </c>
      <c r="J41" s="117">
        <f>ROUNDDOWN($G$1*7800,0)</f>
        <v>7800</v>
      </c>
      <c r="K41" s="118">
        <f>ROUNDDOWN(H41*J41,0)</f>
        <v>137280</v>
      </c>
      <c r="L41" s="114"/>
      <c r="M41" s="119">
        <f>B41</f>
        <v>0</v>
      </c>
      <c r="N41" s="67">
        <f t="shared" si="7"/>
        <v>0</v>
      </c>
      <c r="O41" s="119"/>
      <c r="P41" s="119" t="str">
        <f>E41</f>
        <v>・下見板張り（防腐剤塗り共）</v>
      </c>
      <c r="Q41" s="119"/>
      <c r="R41" s="119"/>
      <c r="S41" s="115">
        <f>H41</f>
        <v>17.600000000000001</v>
      </c>
      <c r="T41" s="119" t="str">
        <f>I41</f>
        <v>㎡</v>
      </c>
      <c r="U41" s="117">
        <f>ROUNDDOWN(J41*$K$1,0)</f>
        <v>11700</v>
      </c>
      <c r="V41" s="118">
        <f>ROUNDDOWN(S41*U41,0)</f>
        <v>205920</v>
      </c>
      <c r="W41" s="119">
        <f>L41</f>
        <v>0</v>
      </c>
    </row>
    <row r="42" spans="2:23" x14ac:dyDescent="0.4">
      <c r="B42" s="112"/>
      <c r="C42" s="114"/>
      <c r="D42" s="113"/>
      <c r="E42" s="113" t="s">
        <v>115</v>
      </c>
      <c r="F42" s="113"/>
      <c r="G42" s="114"/>
      <c r="H42" s="115">
        <v>3</v>
      </c>
      <c r="I42" s="116" t="s">
        <v>94</v>
      </c>
      <c r="J42" s="117">
        <f>ROUNDDOWN($G$1*25000,0)</f>
        <v>25000</v>
      </c>
      <c r="K42" s="118">
        <f>ROUNDDOWN(H42*J42,0)</f>
        <v>75000</v>
      </c>
      <c r="L42" s="160">
        <f>SUM(K36:K42)</f>
        <v>590180</v>
      </c>
      <c r="M42" s="119">
        <f>B42</f>
        <v>0</v>
      </c>
      <c r="N42" s="67">
        <f t="shared" si="7"/>
        <v>0</v>
      </c>
      <c r="O42" s="119"/>
      <c r="P42" s="119" t="str">
        <f>E42</f>
        <v>・外壁張り手間</v>
      </c>
      <c r="Q42" s="119"/>
      <c r="R42" s="119"/>
      <c r="S42" s="115">
        <f>H42</f>
        <v>3</v>
      </c>
      <c r="T42" s="119" t="str">
        <f>I42</f>
        <v>人</v>
      </c>
      <c r="U42" s="117">
        <f>ROUNDDOWN(J42*$K$1,0)</f>
        <v>37500</v>
      </c>
      <c r="V42" s="118">
        <f>ROUNDDOWN(S42*U42,0)</f>
        <v>112500</v>
      </c>
      <c r="W42" s="160">
        <f>SUM(V36:V42)</f>
        <v>885270</v>
      </c>
    </row>
    <row r="43" spans="2:23" x14ac:dyDescent="0.4">
      <c r="B43" s="112" t="s">
        <v>106</v>
      </c>
      <c r="C43" s="114" t="s">
        <v>117</v>
      </c>
      <c r="D43" s="113"/>
      <c r="E43" s="114" t="s">
        <v>151</v>
      </c>
      <c r="F43" s="113"/>
      <c r="G43" s="114"/>
      <c r="H43" s="115">
        <v>1</v>
      </c>
      <c r="I43" s="116" t="s">
        <v>40</v>
      </c>
      <c r="J43" s="117">
        <v>45000</v>
      </c>
      <c r="K43" s="118">
        <f>ROUNDDOWN(H43*J43,0)</f>
        <v>45000</v>
      </c>
      <c r="L43" s="114" t="s">
        <v>150</v>
      </c>
      <c r="M43" s="119" t="str">
        <f t="shared" ref="M43" si="14">B43</f>
        <v>本体</v>
      </c>
      <c r="N43" s="67" t="str">
        <f t="shared" si="7"/>
        <v>５．サッシ木製建具工事</v>
      </c>
      <c r="O43" s="119"/>
      <c r="P43" s="119" t="str">
        <f t="shared" ref="P43" si="15">E43</f>
        <v>・木製建具（クローゼット）</v>
      </c>
      <c r="Q43" s="119"/>
      <c r="R43" s="119"/>
      <c r="S43" s="115">
        <f t="shared" ref="S43:T43" si="16">H43</f>
        <v>1</v>
      </c>
      <c r="T43" s="119" t="str">
        <f t="shared" si="16"/>
        <v>枚</v>
      </c>
      <c r="U43" s="117">
        <f>ROUNDDOWN(J43*$K$1,0)</f>
        <v>67500</v>
      </c>
      <c r="V43" s="118">
        <f t="shared" ref="V43" si="17">ROUNDDOWN(S43*U43,0)</f>
        <v>67500</v>
      </c>
      <c r="W43" s="119" t="str">
        <f t="shared" ref="W43" si="18">L43</f>
        <v>収納分</v>
      </c>
    </row>
    <row r="44" spans="2:23" s="69" customFormat="1" x14ac:dyDescent="0.4">
      <c r="B44" s="112"/>
      <c r="C44" s="114"/>
      <c r="D44" s="114"/>
      <c r="E44" s="114" t="s">
        <v>82</v>
      </c>
      <c r="F44" s="114" t="s">
        <v>83</v>
      </c>
      <c r="G44" s="120"/>
      <c r="H44" s="115">
        <v>1</v>
      </c>
      <c r="I44" s="116" t="s">
        <v>77</v>
      </c>
      <c r="J44" s="117">
        <f>ROUNDDOWN($G$1*180000,0)</f>
        <v>180000</v>
      </c>
      <c r="K44" s="118">
        <f>ROUNDDOWN(H44*J44,0)</f>
        <v>180000</v>
      </c>
      <c r="L44" s="114"/>
      <c r="M44" s="119">
        <f>B44</f>
        <v>0</v>
      </c>
      <c r="N44" s="67">
        <f t="shared" si="7"/>
        <v>0</v>
      </c>
      <c r="O44" s="119"/>
      <c r="P44" s="119" t="str">
        <f>E44</f>
        <v>・サッシ</v>
      </c>
      <c r="Q44" s="119"/>
      <c r="R44" s="119"/>
      <c r="S44" s="115">
        <f>H44</f>
        <v>1</v>
      </c>
      <c r="T44" s="119" t="str">
        <f>I44</f>
        <v>台</v>
      </c>
      <c r="U44" s="117">
        <f>ROUNDDOWN(J44*$K$1,0)</f>
        <v>270000</v>
      </c>
      <c r="V44" s="118">
        <f>ROUNDDOWN(S44*U44,0)</f>
        <v>270000</v>
      </c>
      <c r="W44" s="119">
        <f>L44</f>
        <v>0</v>
      </c>
    </row>
    <row r="45" spans="2:23" s="69" customFormat="1" x14ac:dyDescent="0.4">
      <c r="B45" s="112"/>
      <c r="C45" s="114"/>
      <c r="D45" s="113"/>
      <c r="E45" s="114"/>
      <c r="F45" s="113" t="s">
        <v>84</v>
      </c>
      <c r="G45" s="114"/>
      <c r="H45" s="115">
        <v>1</v>
      </c>
      <c r="I45" s="116" t="s">
        <v>85</v>
      </c>
      <c r="J45" s="117">
        <f>ROUNDDOWN($G$1*125000,0)</f>
        <v>125000</v>
      </c>
      <c r="K45" s="118">
        <f>ROUNDDOWN(H45*J45,0)</f>
        <v>125000</v>
      </c>
      <c r="L45" s="160">
        <f>SUM(K43:K45)</f>
        <v>350000</v>
      </c>
      <c r="M45" s="119">
        <f>B45</f>
        <v>0</v>
      </c>
      <c r="N45" s="67">
        <f t="shared" si="7"/>
        <v>0</v>
      </c>
      <c r="O45" s="119"/>
      <c r="P45" s="119">
        <f>E45</f>
        <v>0</v>
      </c>
      <c r="Q45" s="119"/>
      <c r="R45" s="119"/>
      <c r="S45" s="115">
        <f>H45</f>
        <v>1</v>
      </c>
      <c r="T45" s="119" t="str">
        <f>I45</f>
        <v>式</v>
      </c>
      <c r="U45" s="117">
        <f>ROUNDDOWN(J45*$K$1,0)</f>
        <v>187500</v>
      </c>
      <c r="V45" s="118">
        <f>ROUNDDOWN(S45*U45,0)</f>
        <v>187500</v>
      </c>
      <c r="W45" s="160">
        <f>SUM(V43:V45)</f>
        <v>525000</v>
      </c>
    </row>
    <row r="46" spans="2:23" x14ac:dyDescent="0.4">
      <c r="B46" s="141" t="s">
        <v>118</v>
      </c>
      <c r="C46" s="142"/>
      <c r="D46" s="143"/>
      <c r="E46" s="143"/>
      <c r="F46" s="143"/>
      <c r="G46" s="142"/>
      <c r="H46" s="144">
        <v>1</v>
      </c>
      <c r="I46" s="145" t="s">
        <v>85</v>
      </c>
      <c r="J46" s="146"/>
      <c r="K46" s="147">
        <f>ROUNDDOWN(SUM(K15:K45)*$J$1,0)</f>
        <v>215641</v>
      </c>
      <c r="L46" s="142"/>
      <c r="M46" s="141" t="str">
        <f t="shared" ref="M46:M47" si="19">B46</f>
        <v>本体諸費用（交通費、労災、安全管理費等）</v>
      </c>
      <c r="N46" s="148"/>
      <c r="O46" s="148"/>
      <c r="P46" s="143"/>
      <c r="Q46" s="143"/>
      <c r="R46" s="142"/>
      <c r="S46" s="144">
        <f t="shared" ref="S46:T47" si="20">H46</f>
        <v>1</v>
      </c>
      <c r="T46" s="141" t="str">
        <f t="shared" si="20"/>
        <v>式</v>
      </c>
      <c r="U46" s="146"/>
      <c r="V46" s="147">
        <f>ROUNDDOWN(SUM(V15:V45)*$J$1,0)</f>
        <v>323454</v>
      </c>
      <c r="W46" s="148">
        <f t="shared" ref="W46:W47" si="21">L46</f>
        <v>0</v>
      </c>
    </row>
    <row r="47" spans="2:23" s="122" customFormat="1" x14ac:dyDescent="0.4">
      <c r="B47" s="128" t="s">
        <v>137</v>
      </c>
      <c r="C47" s="129"/>
      <c r="D47" s="129"/>
      <c r="E47" s="129"/>
      <c r="F47" s="129"/>
      <c r="G47" s="130"/>
      <c r="H47" s="131"/>
      <c r="I47" s="132"/>
      <c r="J47" s="133"/>
      <c r="K47" s="134">
        <f>SUM(K15:K46)</f>
        <v>1653249</v>
      </c>
      <c r="L47" s="129"/>
      <c r="M47" s="135" t="str">
        <f t="shared" si="19"/>
        <v>【本体価格計】</v>
      </c>
      <c r="N47" s="135"/>
      <c r="O47" s="135"/>
      <c r="P47" s="135">
        <f t="shared" ref="P47" si="22">E47</f>
        <v>0</v>
      </c>
      <c r="Q47" s="135"/>
      <c r="R47" s="135"/>
      <c r="S47" s="131">
        <f t="shared" si="20"/>
        <v>0</v>
      </c>
      <c r="T47" s="135">
        <f t="shared" si="20"/>
        <v>0</v>
      </c>
      <c r="U47" s="133">
        <f t="shared" ref="U47" si="23">ROUNDDOWN(J47*$K$1,0)</f>
        <v>0</v>
      </c>
      <c r="V47" s="134">
        <f>SUM(V15:V46)</f>
        <v>2479818</v>
      </c>
      <c r="W47" s="135">
        <f t="shared" si="21"/>
        <v>0</v>
      </c>
    </row>
    <row r="48" spans="2:23" s="122" customFormat="1" x14ac:dyDescent="0.4">
      <c r="B48" s="112" t="s">
        <v>119</v>
      </c>
      <c r="C48" s="112" t="s">
        <v>120</v>
      </c>
      <c r="D48" s="114"/>
      <c r="E48" s="114" t="s">
        <v>152</v>
      </c>
      <c r="F48" s="114"/>
      <c r="G48" s="120"/>
      <c r="H48" s="115">
        <f>ROUNDUP(4.8*3.9-1.82*1.365,2)</f>
        <v>16.240000000000002</v>
      </c>
      <c r="I48" s="116" t="s">
        <v>113</v>
      </c>
      <c r="J48" s="117">
        <v>9800</v>
      </c>
      <c r="K48" s="118">
        <f t="shared" si="9"/>
        <v>159152</v>
      </c>
      <c r="L48" s="114" t="s">
        <v>71</v>
      </c>
      <c r="M48" s="119" t="str">
        <f t="shared" si="10"/>
        <v>ｵﾌﾟｼｮﾝ</v>
      </c>
      <c r="N48" s="67" t="str">
        <f t="shared" si="10"/>
        <v>１．内装仕上げ</v>
      </c>
      <c r="O48" s="119"/>
      <c r="P48" s="119" t="str">
        <f t="shared" si="11"/>
        <v>・床フローリング</v>
      </c>
      <c r="Q48" s="119"/>
      <c r="R48" s="119"/>
      <c r="S48" s="115">
        <f t="shared" si="3"/>
        <v>16.240000000000002</v>
      </c>
      <c r="T48" s="119" t="str">
        <f t="shared" si="3"/>
        <v>㎡</v>
      </c>
      <c r="U48" s="117">
        <f t="shared" si="8"/>
        <v>14700</v>
      </c>
      <c r="V48" s="118">
        <f t="shared" si="12"/>
        <v>238728</v>
      </c>
      <c r="W48" s="119" t="str">
        <f t="shared" si="13"/>
        <v>クリア塗装品</v>
      </c>
    </row>
    <row r="49" spans="2:23" s="122" customFormat="1" x14ac:dyDescent="0.4">
      <c r="B49" s="112"/>
      <c r="C49" s="114"/>
      <c r="D49" s="114"/>
      <c r="E49" s="114" t="s">
        <v>153</v>
      </c>
      <c r="F49" s="114"/>
      <c r="G49" s="120"/>
      <c r="H49" s="115">
        <f>ROUNDUP((4.8+3.9)*2*2+1.365*2.3*2.2,2)</f>
        <v>41.71</v>
      </c>
      <c r="I49" s="116" t="s">
        <v>113</v>
      </c>
      <c r="J49" s="117">
        <v>2500</v>
      </c>
      <c r="K49" s="118">
        <f t="shared" si="9"/>
        <v>104275</v>
      </c>
      <c r="L49" s="114" t="s">
        <v>72</v>
      </c>
      <c r="M49" s="119">
        <f t="shared" si="10"/>
        <v>0</v>
      </c>
      <c r="N49" s="67">
        <f t="shared" si="10"/>
        <v>0</v>
      </c>
      <c r="O49" s="119"/>
      <c r="P49" s="119" t="str">
        <f t="shared" si="11"/>
        <v>・壁クロス仕上げ</v>
      </c>
      <c r="Q49" s="119"/>
      <c r="R49" s="119"/>
      <c r="S49" s="115">
        <f t="shared" si="3"/>
        <v>41.71</v>
      </c>
      <c r="T49" s="119" t="str">
        <f t="shared" si="3"/>
        <v>㎡</v>
      </c>
      <c r="U49" s="117">
        <f t="shared" si="8"/>
        <v>3750</v>
      </c>
      <c r="V49" s="118">
        <f t="shared" si="12"/>
        <v>156412</v>
      </c>
      <c r="W49" s="119" t="str">
        <f t="shared" si="13"/>
        <v>910×2,420</v>
      </c>
    </row>
    <row r="50" spans="2:23" s="122" customFormat="1" x14ac:dyDescent="0.4">
      <c r="B50" s="112"/>
      <c r="C50" s="114"/>
      <c r="D50" s="114"/>
      <c r="E50" s="114" t="s">
        <v>161</v>
      </c>
      <c r="F50" s="114"/>
      <c r="G50" s="120"/>
      <c r="H50" s="115">
        <f>$H$48</f>
        <v>16.240000000000002</v>
      </c>
      <c r="I50" s="116" t="s">
        <v>113</v>
      </c>
      <c r="J50" s="117">
        <v>2500</v>
      </c>
      <c r="K50" s="118">
        <f t="shared" si="9"/>
        <v>40600</v>
      </c>
      <c r="L50" s="114" t="s">
        <v>73</v>
      </c>
      <c r="M50" s="119">
        <f t="shared" si="10"/>
        <v>0</v>
      </c>
      <c r="N50" s="67">
        <f t="shared" si="10"/>
        <v>0</v>
      </c>
      <c r="O50" s="119"/>
      <c r="P50" s="119" t="str">
        <f t="shared" si="11"/>
        <v>・天井クロス仕上げ</v>
      </c>
      <c r="Q50" s="119"/>
      <c r="R50" s="119"/>
      <c r="S50" s="115">
        <f t="shared" si="3"/>
        <v>16.240000000000002</v>
      </c>
      <c r="T50" s="119" t="str">
        <f t="shared" si="3"/>
        <v>㎡</v>
      </c>
      <c r="U50" s="117">
        <f t="shared" si="8"/>
        <v>3750</v>
      </c>
      <c r="V50" s="118">
        <f t="shared" si="12"/>
        <v>60900</v>
      </c>
      <c r="W50" s="119" t="str">
        <f t="shared" si="13"/>
        <v>910×1,820</v>
      </c>
    </row>
    <row r="51" spans="2:23" s="122" customFormat="1" x14ac:dyDescent="0.4">
      <c r="B51" s="112"/>
      <c r="C51" s="114"/>
      <c r="D51" s="114"/>
      <c r="E51" s="114" t="s">
        <v>166</v>
      </c>
      <c r="F51" s="114"/>
      <c r="G51" s="120"/>
      <c r="H51" s="115">
        <f>ROUNDUP(3.9*4.8,0)</f>
        <v>19</v>
      </c>
      <c r="I51" s="116" t="s">
        <v>113</v>
      </c>
      <c r="J51" s="117">
        <v>2100</v>
      </c>
      <c r="K51" s="118">
        <f t="shared" si="9"/>
        <v>39900</v>
      </c>
      <c r="L51" s="114" t="s">
        <v>73</v>
      </c>
      <c r="M51" s="119">
        <f t="shared" si="10"/>
        <v>0</v>
      </c>
      <c r="N51" s="119"/>
      <c r="O51" s="119"/>
      <c r="P51" s="119" t="str">
        <f t="shared" si="11"/>
        <v>・ラワンべニア4㎜</v>
      </c>
      <c r="Q51" s="119"/>
      <c r="R51" s="119"/>
      <c r="S51" s="115">
        <f t="shared" si="3"/>
        <v>19</v>
      </c>
      <c r="T51" s="119" t="str">
        <f t="shared" si="3"/>
        <v>㎡</v>
      </c>
      <c r="U51" s="117">
        <f t="shared" si="8"/>
        <v>3150</v>
      </c>
      <c r="V51" s="118">
        <f t="shared" si="12"/>
        <v>59850</v>
      </c>
      <c r="W51" s="119" t="str">
        <f t="shared" si="13"/>
        <v>910×1,820</v>
      </c>
    </row>
    <row r="52" spans="2:23" s="122" customFormat="1" x14ac:dyDescent="0.4">
      <c r="B52" s="112"/>
      <c r="C52" s="114" t="s">
        <v>74</v>
      </c>
      <c r="D52" s="114"/>
      <c r="E52" s="114" t="s">
        <v>75</v>
      </c>
      <c r="F52" s="114"/>
      <c r="G52" s="120"/>
      <c r="H52" s="115">
        <v>1</v>
      </c>
      <c r="I52" s="116" t="s">
        <v>70</v>
      </c>
      <c r="J52" s="117">
        <v>10246</v>
      </c>
      <c r="K52" s="118">
        <f t="shared" si="9"/>
        <v>10246</v>
      </c>
      <c r="L52" s="121">
        <f>SUM(K48:K52)</f>
        <v>354173</v>
      </c>
      <c r="M52" s="119">
        <f t="shared" si="10"/>
        <v>0</v>
      </c>
      <c r="N52" s="67" t="str">
        <f t="shared" si="10"/>
        <v>※15枚入り 3.14m2</v>
      </c>
      <c r="O52" s="119"/>
      <c r="P52" s="119" t="str">
        <f t="shared" si="11"/>
        <v>・Pタイル モルタライク647-701</v>
      </c>
      <c r="Q52" s="119"/>
      <c r="R52" s="119"/>
      <c r="S52" s="115">
        <f t="shared" si="3"/>
        <v>1</v>
      </c>
      <c r="T52" s="119" t="str">
        <f t="shared" si="3"/>
        <v>ｹｰｽ</v>
      </c>
      <c r="U52" s="117">
        <f>ROUNDDOWN(J52*$K$1,0)</f>
        <v>15369</v>
      </c>
      <c r="V52" s="118">
        <f t="shared" si="12"/>
        <v>15369</v>
      </c>
      <c r="W52" s="119">
        <f t="shared" si="13"/>
        <v>354173</v>
      </c>
    </row>
    <row r="53" spans="2:23" s="122" customFormat="1" x14ac:dyDescent="0.4">
      <c r="B53" s="112" t="s">
        <v>119</v>
      </c>
      <c r="C53" s="112" t="s">
        <v>121</v>
      </c>
      <c r="D53" s="113"/>
      <c r="E53" s="114" t="s">
        <v>163</v>
      </c>
      <c r="F53" s="113"/>
      <c r="G53" s="114"/>
      <c r="H53" s="115">
        <v>1</v>
      </c>
      <c r="I53" s="116" t="s">
        <v>77</v>
      </c>
      <c r="J53" s="117">
        <v>340000</v>
      </c>
      <c r="K53" s="118">
        <f t="shared" si="9"/>
        <v>340000</v>
      </c>
      <c r="L53" s="114"/>
      <c r="M53" s="119" t="str">
        <f t="shared" si="10"/>
        <v>ｵﾌﾟｼｮﾝ</v>
      </c>
      <c r="N53" s="67" t="str">
        <f t="shared" si="10"/>
        <v>２．設備機器</v>
      </c>
      <c r="O53" s="119"/>
      <c r="P53" s="119" t="str">
        <f t="shared" si="11"/>
        <v>・3点ユニット1216</v>
      </c>
      <c r="Q53" s="119"/>
      <c r="R53" s="119"/>
      <c r="S53" s="115">
        <f t="shared" si="3"/>
        <v>1</v>
      </c>
      <c r="T53" s="119" t="str">
        <f t="shared" si="3"/>
        <v>台</v>
      </c>
      <c r="U53" s="117">
        <f t="shared" si="8"/>
        <v>510000</v>
      </c>
      <c r="V53" s="118">
        <f t="shared" si="12"/>
        <v>510000</v>
      </c>
      <c r="W53" s="119">
        <f t="shared" si="13"/>
        <v>0</v>
      </c>
    </row>
    <row r="54" spans="2:23" s="123" customFormat="1" x14ac:dyDescent="0.4">
      <c r="B54" s="112"/>
      <c r="C54" s="114"/>
      <c r="D54" s="114"/>
      <c r="E54" s="114" t="s">
        <v>144</v>
      </c>
      <c r="F54" s="114"/>
      <c r="G54" s="120"/>
      <c r="H54" s="115">
        <v>1</v>
      </c>
      <c r="I54" s="116" t="s">
        <v>77</v>
      </c>
      <c r="J54" s="117">
        <v>150000</v>
      </c>
      <c r="K54" s="118">
        <f t="shared" si="9"/>
        <v>150000</v>
      </c>
      <c r="L54" s="114"/>
      <c r="M54" s="119">
        <f>B54</f>
        <v>0</v>
      </c>
      <c r="N54" s="67">
        <f t="shared" ref="N54:N65" si="24">C54</f>
        <v>0</v>
      </c>
      <c r="O54" s="119"/>
      <c r="P54" s="119" t="str">
        <f>E54</f>
        <v>・ウォッシュレット</v>
      </c>
      <c r="Q54" s="119"/>
      <c r="R54" s="119"/>
      <c r="S54" s="115">
        <f>H54</f>
        <v>1</v>
      </c>
      <c r="T54" s="119" t="str">
        <f>I54</f>
        <v>台</v>
      </c>
      <c r="U54" s="117">
        <f t="shared" si="8"/>
        <v>225000</v>
      </c>
      <c r="V54" s="118">
        <f>ROUNDDOWN(S54*U54,0)</f>
        <v>225000</v>
      </c>
      <c r="W54" s="119">
        <f>L54</f>
        <v>0</v>
      </c>
    </row>
    <row r="55" spans="2:23" s="123" customFormat="1" x14ac:dyDescent="0.4">
      <c r="B55" s="112"/>
      <c r="C55" s="114"/>
      <c r="D55" s="114"/>
      <c r="E55" s="114" t="s">
        <v>145</v>
      </c>
      <c r="F55" s="114"/>
      <c r="G55" s="120"/>
      <c r="H55" s="115">
        <v>1</v>
      </c>
      <c r="I55" s="116" t="s">
        <v>77</v>
      </c>
      <c r="J55" s="117">
        <v>125000</v>
      </c>
      <c r="K55" s="118">
        <f t="shared" si="9"/>
        <v>125000</v>
      </c>
      <c r="L55" s="114"/>
      <c r="M55" s="119">
        <f>B55</f>
        <v>0</v>
      </c>
      <c r="N55" s="67">
        <f t="shared" si="24"/>
        <v>0</v>
      </c>
      <c r="O55" s="119"/>
      <c r="P55" s="119" t="str">
        <f>E55</f>
        <v>・ミニキッチン</v>
      </c>
      <c r="Q55" s="119"/>
      <c r="R55" s="119"/>
      <c r="S55" s="115">
        <f>H55</f>
        <v>1</v>
      </c>
      <c r="T55" s="119" t="str">
        <f>I55</f>
        <v>台</v>
      </c>
      <c r="U55" s="117">
        <f t="shared" si="8"/>
        <v>187500</v>
      </c>
      <c r="V55" s="118">
        <f>ROUNDDOWN(S55*U55,0)</f>
        <v>187500</v>
      </c>
      <c r="W55" s="119">
        <f>L55</f>
        <v>0</v>
      </c>
    </row>
    <row r="56" spans="2:23" s="123" customFormat="1" x14ac:dyDescent="0.4">
      <c r="B56" s="112"/>
      <c r="C56" s="114"/>
      <c r="D56" s="114"/>
      <c r="E56" s="114" t="s">
        <v>78</v>
      </c>
      <c r="F56" s="114"/>
      <c r="G56" s="120"/>
      <c r="H56" s="115">
        <v>1</v>
      </c>
      <c r="I56" s="116" t="s">
        <v>77</v>
      </c>
      <c r="J56" s="117">
        <f>ROUNDDOWN($G$1*250000,0)</f>
        <v>250000</v>
      </c>
      <c r="K56" s="118">
        <f t="shared" si="9"/>
        <v>250000</v>
      </c>
      <c r="L56" s="114"/>
      <c r="M56" s="119">
        <f>B56</f>
        <v>0</v>
      </c>
      <c r="N56" s="67">
        <f t="shared" si="24"/>
        <v>0</v>
      </c>
      <c r="O56" s="119"/>
      <c r="P56" s="119" t="str">
        <f>E56</f>
        <v>・エアコン</v>
      </c>
      <c r="Q56" s="119"/>
      <c r="R56" s="119"/>
      <c r="S56" s="115">
        <f>H56</f>
        <v>1</v>
      </c>
      <c r="T56" s="119" t="str">
        <f>I56</f>
        <v>台</v>
      </c>
      <c r="U56" s="117">
        <f t="shared" si="8"/>
        <v>375000</v>
      </c>
      <c r="V56" s="118">
        <f>ROUNDDOWN(S56*U56,0)</f>
        <v>375000</v>
      </c>
      <c r="W56" s="119">
        <f>L56</f>
        <v>0</v>
      </c>
    </row>
    <row r="57" spans="2:23" s="123" customFormat="1" x14ac:dyDescent="0.4">
      <c r="B57" s="112"/>
      <c r="C57" s="114"/>
      <c r="D57" s="114"/>
      <c r="E57" s="114" t="s">
        <v>79</v>
      </c>
      <c r="F57" s="114"/>
      <c r="G57" s="120"/>
      <c r="H57" s="115">
        <v>1</v>
      </c>
      <c r="I57" s="116" t="s">
        <v>77</v>
      </c>
      <c r="J57" s="117">
        <f>ROUNDDOWN($G$1*180000,0)</f>
        <v>180000</v>
      </c>
      <c r="K57" s="118">
        <f t="shared" si="9"/>
        <v>180000</v>
      </c>
      <c r="L57" s="114"/>
      <c r="M57" s="119">
        <f>B57</f>
        <v>0</v>
      </c>
      <c r="N57" s="67">
        <f t="shared" si="24"/>
        <v>0</v>
      </c>
      <c r="O57" s="119"/>
      <c r="P57" s="119" t="str">
        <f>E57</f>
        <v>・ガス給湯器16号</v>
      </c>
      <c r="Q57" s="119"/>
      <c r="R57" s="119"/>
      <c r="S57" s="115">
        <f>H57</f>
        <v>1</v>
      </c>
      <c r="T57" s="119" t="str">
        <f>I57</f>
        <v>台</v>
      </c>
      <c r="U57" s="117">
        <f t="shared" si="8"/>
        <v>270000</v>
      </c>
      <c r="V57" s="118">
        <f>ROUNDDOWN(S57*U57,0)</f>
        <v>270000</v>
      </c>
      <c r="W57" s="119">
        <f>L57</f>
        <v>0</v>
      </c>
    </row>
    <row r="58" spans="2:23" s="123" customFormat="1" x14ac:dyDescent="0.4">
      <c r="B58" s="112"/>
      <c r="C58" s="114"/>
      <c r="D58" s="113"/>
      <c r="E58" s="114" t="s">
        <v>86</v>
      </c>
      <c r="F58" s="113"/>
      <c r="G58" s="114"/>
      <c r="H58" s="115">
        <v>1</v>
      </c>
      <c r="I58" s="116" t="s">
        <v>77</v>
      </c>
      <c r="J58" s="117">
        <f>ROUNDDOWN($G$1*35000,0)</f>
        <v>35000</v>
      </c>
      <c r="K58" s="118">
        <f t="shared" si="9"/>
        <v>35000</v>
      </c>
      <c r="L58" s="114"/>
      <c r="M58" s="119">
        <f t="shared" ref="M58:M59" si="25">B58</f>
        <v>0</v>
      </c>
      <c r="N58" s="67">
        <f t="shared" si="24"/>
        <v>0</v>
      </c>
      <c r="O58" s="119"/>
      <c r="P58" s="119" t="str">
        <f t="shared" ref="P58:P59" si="26">E58</f>
        <v>・スマートキー</v>
      </c>
      <c r="Q58" s="119"/>
      <c r="R58" s="119"/>
      <c r="S58" s="115">
        <f t="shared" ref="S58:T59" si="27">H58</f>
        <v>1</v>
      </c>
      <c r="T58" s="119" t="str">
        <f t="shared" si="27"/>
        <v>台</v>
      </c>
      <c r="U58" s="117">
        <f t="shared" si="8"/>
        <v>52500</v>
      </c>
      <c r="V58" s="118">
        <f t="shared" ref="V58:V59" si="28">ROUNDDOWN(S58*U58,0)</f>
        <v>52500</v>
      </c>
      <c r="W58" s="119">
        <f t="shared" ref="W58:W59" si="29">L58</f>
        <v>0</v>
      </c>
    </row>
    <row r="59" spans="2:23" s="123" customFormat="1" x14ac:dyDescent="0.4">
      <c r="B59" s="112"/>
      <c r="C59" s="114"/>
      <c r="D59" s="113"/>
      <c r="E59" s="114" t="s">
        <v>167</v>
      </c>
      <c r="F59" s="113"/>
      <c r="G59" s="114"/>
      <c r="H59" s="115">
        <f>ROUNDUP(1,2)</f>
        <v>1</v>
      </c>
      <c r="I59" s="116" t="s">
        <v>88</v>
      </c>
      <c r="J59" s="117">
        <f>ROUNDDOWN($G$1*75000,0)</f>
        <v>75000</v>
      </c>
      <c r="K59" s="118">
        <f t="shared" si="9"/>
        <v>75000</v>
      </c>
      <c r="L59" s="114"/>
      <c r="M59" s="119">
        <f t="shared" si="25"/>
        <v>0</v>
      </c>
      <c r="N59" s="67">
        <f t="shared" si="24"/>
        <v>0</v>
      </c>
      <c r="O59" s="119"/>
      <c r="P59" s="119" t="str">
        <f t="shared" si="26"/>
        <v>・家具下足箱</v>
      </c>
      <c r="Q59" s="119"/>
      <c r="R59" s="119"/>
      <c r="S59" s="115">
        <f t="shared" si="27"/>
        <v>1</v>
      </c>
      <c r="T59" s="119" t="str">
        <f t="shared" si="27"/>
        <v>ｾｯﾄ</v>
      </c>
      <c r="U59" s="117">
        <f t="shared" si="8"/>
        <v>112500</v>
      </c>
      <c r="V59" s="118">
        <f t="shared" si="28"/>
        <v>112500</v>
      </c>
      <c r="W59" s="119">
        <f t="shared" si="29"/>
        <v>0</v>
      </c>
    </row>
    <row r="60" spans="2:23" s="123" customFormat="1" x14ac:dyDescent="0.4">
      <c r="B60" s="112"/>
      <c r="C60" s="114"/>
      <c r="D60" s="114"/>
      <c r="E60" s="114" t="s">
        <v>89</v>
      </c>
      <c r="F60" s="114"/>
      <c r="G60" s="120"/>
      <c r="H60" s="115">
        <v>1</v>
      </c>
      <c r="I60" s="116" t="s">
        <v>88</v>
      </c>
      <c r="J60" s="117">
        <f>ROUNDDOWN($G$1*43000,0)</f>
        <v>43000</v>
      </c>
      <c r="K60" s="118">
        <f>ROUNDDOWN(H60*J60,0)</f>
        <v>43000</v>
      </c>
      <c r="L60" s="114"/>
      <c r="M60" s="119">
        <f>B60</f>
        <v>0</v>
      </c>
      <c r="N60" s="67">
        <f t="shared" si="24"/>
        <v>0</v>
      </c>
      <c r="O60" s="119"/>
      <c r="P60" s="119" t="str">
        <f>E60</f>
        <v>・洋服掛け15×15</v>
      </c>
      <c r="Q60" s="119"/>
      <c r="R60" s="119"/>
      <c r="S60" s="115">
        <f>H60</f>
        <v>1</v>
      </c>
      <c r="T60" s="119" t="str">
        <f>I60</f>
        <v>ｾｯﾄ</v>
      </c>
      <c r="U60" s="117">
        <f t="shared" si="8"/>
        <v>64500</v>
      </c>
      <c r="V60" s="118">
        <f>ROUNDDOWN(S60*U60,0)</f>
        <v>64500</v>
      </c>
      <c r="W60" s="119">
        <f>L60</f>
        <v>0</v>
      </c>
    </row>
    <row r="61" spans="2:23" s="127" customFormat="1" x14ac:dyDescent="0.4">
      <c r="B61" s="124"/>
      <c r="C61" s="116"/>
      <c r="D61" s="125"/>
      <c r="E61" s="116" t="s">
        <v>90</v>
      </c>
      <c r="F61" s="125"/>
      <c r="G61" s="116"/>
      <c r="H61" s="115">
        <v>0</v>
      </c>
      <c r="I61" s="116" t="s">
        <v>77</v>
      </c>
      <c r="J61" s="117">
        <v>0</v>
      </c>
      <c r="K61" s="117">
        <f t="shared" ref="K61" si="30">ROUNDDOWN(H61*J61,0)</f>
        <v>0</v>
      </c>
      <c r="L61" s="116" t="s">
        <v>91</v>
      </c>
      <c r="M61" s="126">
        <f t="shared" ref="M61" si="31">B61</f>
        <v>0</v>
      </c>
      <c r="N61" s="67">
        <f t="shared" si="24"/>
        <v>0</v>
      </c>
      <c r="O61" s="126"/>
      <c r="P61" s="126" t="str">
        <f t="shared" ref="P61" si="32">E61</f>
        <v>・洗面器KB-PR012-03-G141</v>
      </c>
      <c r="Q61" s="126"/>
      <c r="R61" s="126"/>
      <c r="S61" s="115">
        <f t="shared" ref="S61:T61" si="33">H61</f>
        <v>0</v>
      </c>
      <c r="T61" s="126" t="str">
        <f t="shared" si="33"/>
        <v>台</v>
      </c>
      <c r="U61" s="117">
        <f t="shared" si="8"/>
        <v>0</v>
      </c>
      <c r="V61" s="117">
        <f t="shared" ref="V61" si="34">ROUNDDOWN(S61*U61,0)</f>
        <v>0</v>
      </c>
      <c r="W61" s="126" t="str">
        <f t="shared" ref="W61" si="35">L61</f>
        <v>toolbox</v>
      </c>
    </row>
    <row r="62" spans="2:23" s="122" customFormat="1" x14ac:dyDescent="0.4">
      <c r="B62" s="112"/>
      <c r="C62" s="114"/>
      <c r="D62" s="114"/>
      <c r="E62" s="114" t="s">
        <v>92</v>
      </c>
      <c r="F62" s="114"/>
      <c r="G62" s="120"/>
      <c r="H62" s="115">
        <v>0</v>
      </c>
      <c r="I62" s="116" t="s">
        <v>77</v>
      </c>
      <c r="J62" s="117">
        <v>0</v>
      </c>
      <c r="K62" s="118">
        <f>ROUNDDOWN(H62*J62,0)</f>
        <v>0</v>
      </c>
      <c r="L62" s="114" t="s">
        <v>91</v>
      </c>
      <c r="M62" s="119">
        <f>B62</f>
        <v>0</v>
      </c>
      <c r="N62" s="67">
        <f t="shared" si="24"/>
        <v>0</v>
      </c>
      <c r="O62" s="119"/>
      <c r="P62" s="119" t="str">
        <f>E62</f>
        <v>・混合水栓KB-TP006-01-G141</v>
      </c>
      <c r="Q62" s="119"/>
      <c r="R62" s="119"/>
      <c r="S62" s="115">
        <f>H62</f>
        <v>0</v>
      </c>
      <c r="T62" s="119" t="str">
        <f>I62</f>
        <v>台</v>
      </c>
      <c r="U62" s="117">
        <f t="shared" si="8"/>
        <v>0</v>
      </c>
      <c r="V62" s="118">
        <f>ROUNDDOWN(S62*U62,0)</f>
        <v>0</v>
      </c>
      <c r="W62" s="119" t="str">
        <f>L62</f>
        <v>toolbox</v>
      </c>
    </row>
    <row r="63" spans="2:23" x14ac:dyDescent="0.4">
      <c r="B63" s="112"/>
      <c r="C63" s="114"/>
      <c r="D63" s="114"/>
      <c r="E63" s="114" t="s">
        <v>93</v>
      </c>
      <c r="F63" s="114"/>
      <c r="G63" s="120"/>
      <c r="H63" s="115">
        <v>0</v>
      </c>
      <c r="I63" s="116" t="s">
        <v>77</v>
      </c>
      <c r="J63" s="117">
        <v>0</v>
      </c>
      <c r="K63" s="118">
        <f>ROUNDDOWN(H63*J63,0)</f>
        <v>0</v>
      </c>
      <c r="L63" s="121">
        <f>SUM(K53:K63)</f>
        <v>1198000</v>
      </c>
      <c r="M63" s="119">
        <f>B63</f>
        <v>0</v>
      </c>
      <c r="N63" s="67">
        <f t="shared" si="24"/>
        <v>0</v>
      </c>
      <c r="O63" s="119"/>
      <c r="P63" s="119" t="str">
        <f>E63</f>
        <v>・折り畳み式ベット1200×2000</v>
      </c>
      <c r="Q63" s="119"/>
      <c r="R63" s="119"/>
      <c r="S63" s="115">
        <f>H63</f>
        <v>0</v>
      </c>
      <c r="T63" s="119" t="str">
        <f>I63</f>
        <v>台</v>
      </c>
      <c r="U63" s="117">
        <f t="shared" si="8"/>
        <v>0</v>
      </c>
      <c r="V63" s="118">
        <f>ROUNDDOWN(S63*U63,0)</f>
        <v>0</v>
      </c>
      <c r="W63" s="119">
        <f>L63</f>
        <v>1198000</v>
      </c>
    </row>
    <row r="64" spans="2:23" x14ac:dyDescent="0.4">
      <c r="B64" s="112" t="s">
        <v>119</v>
      </c>
      <c r="C64" s="112" t="s">
        <v>148</v>
      </c>
      <c r="D64" s="114"/>
      <c r="E64" s="114" t="s">
        <v>95</v>
      </c>
      <c r="F64" s="114"/>
      <c r="G64" s="120"/>
      <c r="H64" s="115">
        <f>ROUNDUP(5*2.5,2)</f>
        <v>12.5</v>
      </c>
      <c r="I64" s="116" t="s">
        <v>94</v>
      </c>
      <c r="J64" s="117">
        <f>ROUNDDOWN(30000,0)</f>
        <v>30000</v>
      </c>
      <c r="K64" s="118">
        <f>ROUNDDOWN(H64*J64,0)</f>
        <v>375000</v>
      </c>
      <c r="L64" s="121">
        <f>SUM(K64:K64)</f>
        <v>375000</v>
      </c>
      <c r="M64" s="119" t="str">
        <f>B64</f>
        <v>ｵﾌﾟｼｮﾝ</v>
      </c>
      <c r="N64" s="67" t="str">
        <f t="shared" si="24"/>
        <v>３．造作工事</v>
      </c>
      <c r="O64" s="119"/>
      <c r="P64" s="119" t="str">
        <f>E64</f>
        <v>・室内造作（建具取付まで）</v>
      </c>
      <c r="Q64" s="119"/>
      <c r="R64" s="119"/>
      <c r="S64" s="115">
        <f>H64</f>
        <v>12.5</v>
      </c>
      <c r="T64" s="119" t="str">
        <f>I64</f>
        <v>人</v>
      </c>
      <c r="U64" s="117">
        <f>ROUNDDOWN(25000,0)</f>
        <v>25000</v>
      </c>
      <c r="V64" s="118">
        <f>ROUNDDOWN(S64*U64,0)</f>
        <v>312500</v>
      </c>
      <c r="W64" s="119">
        <f>L64</f>
        <v>375000</v>
      </c>
    </row>
    <row r="65" spans="2:23" x14ac:dyDescent="0.4">
      <c r="B65" s="60"/>
      <c r="C65" s="60" t="s">
        <v>147</v>
      </c>
      <c r="D65" s="62"/>
      <c r="E65" s="62"/>
      <c r="F65" s="62"/>
      <c r="G65" s="61"/>
      <c r="H65" s="63">
        <v>1</v>
      </c>
      <c r="I65" s="64" t="s">
        <v>85</v>
      </c>
      <c r="J65" s="65">
        <f t="shared" ref="J59:J76" si="36">ROUNDDOWN($G$1*0,0)</f>
        <v>0</v>
      </c>
      <c r="K65" s="66">
        <f t="shared" ref="K65" si="37">ROUNDDOWN(H65*J65,0)</f>
        <v>0</v>
      </c>
      <c r="L65" s="61"/>
      <c r="M65" s="67">
        <f t="shared" ref="M65:N76" si="38">B65</f>
        <v>0</v>
      </c>
      <c r="N65" s="67" t="str">
        <f t="shared" si="24"/>
        <v>４．各種養生（床養生マット、壁ビニールシート等）</v>
      </c>
      <c r="O65" s="67"/>
      <c r="P65" s="62"/>
      <c r="Q65" s="62"/>
      <c r="R65" s="61"/>
      <c r="S65" s="63">
        <f t="shared" ref="S65:T69" si="39">H65</f>
        <v>1</v>
      </c>
      <c r="T65" s="67" t="str">
        <f t="shared" si="39"/>
        <v>式</v>
      </c>
      <c r="U65" s="65">
        <f t="shared" ref="U65" si="40">ROUNDDOWN(J65*$K$1,0)</f>
        <v>0</v>
      </c>
      <c r="V65" s="66">
        <f t="shared" ref="V65" si="41">ROUNDDOWN(S65*U65,0)</f>
        <v>0</v>
      </c>
      <c r="W65" s="67">
        <f t="shared" ref="W65:W69" si="42">L65</f>
        <v>0</v>
      </c>
    </row>
    <row r="66" spans="2:23" x14ac:dyDescent="0.4">
      <c r="B66" s="141" t="s">
        <v>119</v>
      </c>
      <c r="C66" s="141" t="s">
        <v>124</v>
      </c>
      <c r="D66" s="143"/>
      <c r="E66" s="143"/>
      <c r="F66" s="143"/>
      <c r="G66" s="142"/>
      <c r="H66" s="144">
        <v>1</v>
      </c>
      <c r="I66" s="145" t="s">
        <v>85</v>
      </c>
      <c r="J66" s="146"/>
      <c r="K66" s="147">
        <f>ROUNDDOWN(SUM(K48:K65)*$J$1,0)</f>
        <v>289075</v>
      </c>
      <c r="L66" s="142"/>
      <c r="M66" s="141" t="str">
        <f t="shared" si="38"/>
        <v>ｵﾌﾟｼｮﾝ</v>
      </c>
      <c r="N66" s="148"/>
      <c r="O66" s="148"/>
      <c r="P66" s="143"/>
      <c r="Q66" s="143"/>
      <c r="R66" s="142"/>
      <c r="S66" s="144">
        <f t="shared" si="39"/>
        <v>1</v>
      </c>
      <c r="T66" s="141" t="str">
        <f t="shared" si="39"/>
        <v>式</v>
      </c>
      <c r="U66" s="146"/>
      <c r="V66" s="147">
        <f>ROUNDDOWN(SUM(V48:V65)*$J$1,0)</f>
        <v>396113</v>
      </c>
      <c r="W66" s="148">
        <f t="shared" si="42"/>
        <v>0</v>
      </c>
    </row>
    <row r="67" spans="2:23" s="122" customFormat="1" x14ac:dyDescent="0.4">
      <c r="B67" s="128" t="s">
        <v>136</v>
      </c>
      <c r="C67" s="129"/>
      <c r="D67" s="129"/>
      <c r="E67" s="129"/>
      <c r="F67" s="129"/>
      <c r="G67" s="130"/>
      <c r="H67" s="131"/>
      <c r="I67" s="132"/>
      <c r="J67" s="133"/>
      <c r="K67" s="134">
        <f>SUM(K48:K66)</f>
        <v>2216248</v>
      </c>
      <c r="L67" s="129" t="s">
        <v>71</v>
      </c>
      <c r="M67" s="135" t="str">
        <f t="shared" si="38"/>
        <v>【オプション価格計】</v>
      </c>
      <c r="N67" s="135"/>
      <c r="O67" s="135"/>
      <c r="P67" s="135">
        <f t="shared" ref="P67" si="43">E67</f>
        <v>0</v>
      </c>
      <c r="Q67" s="135"/>
      <c r="R67" s="135"/>
      <c r="S67" s="131">
        <f t="shared" si="39"/>
        <v>0</v>
      </c>
      <c r="T67" s="135">
        <f t="shared" si="39"/>
        <v>0</v>
      </c>
      <c r="U67" s="133">
        <f t="shared" ref="U67:U69" si="44">ROUNDDOWN(J67*$K$1,0)</f>
        <v>0</v>
      </c>
      <c r="V67" s="134">
        <f>SUM(V48:V66)</f>
        <v>3036872</v>
      </c>
      <c r="W67" s="135" t="str">
        <f t="shared" si="42"/>
        <v>クリア塗装品</v>
      </c>
    </row>
    <row r="68" spans="2:23" x14ac:dyDescent="0.4">
      <c r="B68" s="60" t="s">
        <v>125</v>
      </c>
      <c r="C68" s="60" t="s">
        <v>126</v>
      </c>
      <c r="D68" s="62"/>
      <c r="E68" s="62"/>
      <c r="F68" s="62"/>
      <c r="G68" s="61"/>
      <c r="H68" s="63">
        <v>1</v>
      </c>
      <c r="I68" s="64" t="s">
        <v>85</v>
      </c>
      <c r="J68" s="65">
        <v>0</v>
      </c>
      <c r="K68" s="66">
        <f t="shared" ref="K68:K69" si="45">ROUNDDOWN(H68*J68,0)</f>
        <v>0</v>
      </c>
      <c r="L68" s="61"/>
      <c r="M68" s="60" t="str">
        <f t="shared" si="38"/>
        <v>別途</v>
      </c>
      <c r="N68" s="67" t="str">
        <f t="shared" si="38"/>
        <v>１．運送費</v>
      </c>
      <c r="O68" s="67"/>
      <c r="P68" s="62"/>
      <c r="Q68" s="62"/>
      <c r="R68" s="61"/>
      <c r="S68" s="63">
        <f t="shared" si="39"/>
        <v>1</v>
      </c>
      <c r="T68" s="60" t="str">
        <f t="shared" si="39"/>
        <v>式</v>
      </c>
      <c r="U68" s="65">
        <f t="shared" si="44"/>
        <v>0</v>
      </c>
      <c r="V68" s="66">
        <f t="shared" ref="V68:V70" si="46">ROUNDDOWN(S68*U68,0)</f>
        <v>0</v>
      </c>
      <c r="W68" s="67">
        <f t="shared" si="42"/>
        <v>0</v>
      </c>
    </row>
    <row r="69" spans="2:23" x14ac:dyDescent="0.4">
      <c r="B69" s="60"/>
      <c r="C69" s="60" t="s">
        <v>129</v>
      </c>
      <c r="D69" s="62"/>
      <c r="E69" s="62"/>
      <c r="F69" s="62"/>
      <c r="G69" s="61"/>
      <c r="H69" s="63">
        <v>1</v>
      </c>
      <c r="I69" s="64" t="s">
        <v>85</v>
      </c>
      <c r="J69" s="65">
        <v>0</v>
      </c>
      <c r="K69" s="66">
        <f t="shared" si="45"/>
        <v>0</v>
      </c>
      <c r="L69" s="61"/>
      <c r="M69" s="60">
        <f t="shared" si="38"/>
        <v>0</v>
      </c>
      <c r="N69" s="67" t="str">
        <f t="shared" si="38"/>
        <v>２．設計監理及び確認申請費</v>
      </c>
      <c r="O69" s="67"/>
      <c r="P69" s="62"/>
      <c r="Q69" s="62"/>
      <c r="R69" s="61"/>
      <c r="S69" s="63">
        <f t="shared" si="39"/>
        <v>1</v>
      </c>
      <c r="T69" s="60" t="str">
        <f t="shared" si="39"/>
        <v>式</v>
      </c>
      <c r="U69" s="65">
        <f t="shared" si="44"/>
        <v>0</v>
      </c>
      <c r="V69" s="66">
        <f t="shared" si="46"/>
        <v>0</v>
      </c>
      <c r="W69" s="67">
        <f t="shared" si="42"/>
        <v>0</v>
      </c>
    </row>
    <row r="70" spans="2:23" x14ac:dyDescent="0.4">
      <c r="B70" s="60"/>
      <c r="C70" s="60" t="s">
        <v>127</v>
      </c>
      <c r="D70" s="62"/>
      <c r="E70" s="62"/>
      <c r="F70" s="62"/>
      <c r="G70" s="61"/>
      <c r="H70" s="63">
        <v>1</v>
      </c>
      <c r="I70" s="64" t="s">
        <v>85</v>
      </c>
      <c r="J70" s="65">
        <f t="shared" si="36"/>
        <v>0</v>
      </c>
      <c r="K70" s="66">
        <f>ROUNDDOWN(H70*J70,0)</f>
        <v>0</v>
      </c>
      <c r="L70" s="61"/>
      <c r="M70" s="67">
        <f>B70</f>
        <v>0</v>
      </c>
      <c r="N70" s="67" t="str">
        <f t="shared" si="38"/>
        <v>３．梱包養生</v>
      </c>
      <c r="O70" s="67"/>
      <c r="P70" s="62"/>
      <c r="Q70" s="62"/>
      <c r="R70" s="61"/>
      <c r="S70" s="63">
        <f>H70</f>
        <v>1</v>
      </c>
      <c r="T70" s="67" t="str">
        <f>I70</f>
        <v>式</v>
      </c>
      <c r="U70" s="65">
        <f>ROUNDDOWN(J70*$K$1,0)</f>
        <v>0</v>
      </c>
      <c r="V70" s="66">
        <f>ROUNDDOWN(S70*U70,0)</f>
        <v>0</v>
      </c>
      <c r="W70" s="67">
        <f>L70</f>
        <v>0</v>
      </c>
    </row>
    <row r="71" spans="2:23" x14ac:dyDescent="0.4">
      <c r="B71" s="60"/>
      <c r="C71" s="60" t="s">
        <v>130</v>
      </c>
      <c r="D71" s="62"/>
      <c r="E71" s="62"/>
      <c r="F71" s="62"/>
      <c r="G71" s="61"/>
      <c r="H71" s="63">
        <v>1</v>
      </c>
      <c r="I71" s="64" t="s">
        <v>85</v>
      </c>
      <c r="J71" s="65">
        <f t="shared" si="36"/>
        <v>0</v>
      </c>
      <c r="K71" s="66">
        <f>ROUNDDOWN(H71*J71,0)</f>
        <v>0</v>
      </c>
      <c r="L71" s="61"/>
      <c r="M71" s="67">
        <f>B71</f>
        <v>0</v>
      </c>
      <c r="N71" s="67" t="str">
        <f t="shared" si="38"/>
        <v>４．現場設置工事</v>
      </c>
      <c r="O71" s="67"/>
      <c r="P71" s="62"/>
      <c r="Q71" s="62"/>
      <c r="R71" s="61"/>
      <c r="S71" s="63">
        <f>H71</f>
        <v>1</v>
      </c>
      <c r="T71" s="67" t="str">
        <f>I71</f>
        <v>式</v>
      </c>
      <c r="U71" s="65">
        <f>ROUNDDOWN(J71*$K$1,0)</f>
        <v>0</v>
      </c>
      <c r="V71" s="66">
        <f>ROUNDDOWN(S71*U71,0)</f>
        <v>0</v>
      </c>
      <c r="W71" s="67">
        <f>L71</f>
        <v>0</v>
      </c>
    </row>
    <row r="72" spans="2:23" x14ac:dyDescent="0.4">
      <c r="B72" s="60"/>
      <c r="C72" s="60" t="s">
        <v>131</v>
      </c>
      <c r="D72" s="62"/>
      <c r="E72" s="62" t="s">
        <v>96</v>
      </c>
      <c r="F72" s="62"/>
      <c r="G72" s="61"/>
      <c r="H72" s="63">
        <f>ROUNDUP(1,2)</f>
        <v>1</v>
      </c>
      <c r="I72" s="64" t="s">
        <v>85</v>
      </c>
      <c r="J72" s="65">
        <f>ROUNDDOWN($G$1*0,0)</f>
        <v>0</v>
      </c>
      <c r="K72" s="66">
        <f t="shared" si="0"/>
        <v>0</v>
      </c>
      <c r="L72" s="61" t="s">
        <v>122</v>
      </c>
      <c r="M72" s="67">
        <f t="shared" si="1"/>
        <v>0</v>
      </c>
      <c r="N72" s="67" t="str">
        <f t="shared" si="38"/>
        <v>５．電気設備工事</v>
      </c>
      <c r="O72" s="67"/>
      <c r="P72" s="67" t="str">
        <f t="shared" si="2"/>
        <v>・照明器具含む</v>
      </c>
      <c r="Q72" s="67"/>
      <c r="R72" s="67"/>
      <c r="S72" s="63">
        <f t="shared" si="3"/>
        <v>1</v>
      </c>
      <c r="T72" s="67" t="str">
        <f t="shared" si="3"/>
        <v>式</v>
      </c>
      <c r="U72" s="65">
        <f t="shared" si="4"/>
        <v>0</v>
      </c>
      <c r="V72" s="66">
        <f t="shared" si="5"/>
        <v>0</v>
      </c>
      <c r="W72" s="67" t="str">
        <f t="shared" si="6"/>
        <v>別途工事</v>
      </c>
    </row>
    <row r="73" spans="2:23" x14ac:dyDescent="0.4">
      <c r="B73" s="60"/>
      <c r="C73" s="60" t="s">
        <v>128</v>
      </c>
      <c r="D73" s="62"/>
      <c r="E73" s="62" t="s">
        <v>97</v>
      </c>
      <c r="F73" s="62"/>
      <c r="G73" s="61"/>
      <c r="H73" s="63">
        <f>ROUNDUP(1,2)</f>
        <v>1</v>
      </c>
      <c r="I73" s="64" t="s">
        <v>85</v>
      </c>
      <c r="J73" s="65">
        <f t="shared" si="36"/>
        <v>0</v>
      </c>
      <c r="K73" s="66">
        <f t="shared" si="0"/>
        <v>0</v>
      </c>
      <c r="L73" s="61"/>
      <c r="M73" s="67">
        <f t="shared" si="1"/>
        <v>0</v>
      </c>
      <c r="N73" s="67" t="str">
        <f t="shared" si="38"/>
        <v>６．給排水給湯設備工事</v>
      </c>
      <c r="O73" s="67"/>
      <c r="P73" s="67" t="str">
        <f t="shared" si="2"/>
        <v>・敷地状況によって別途見積</v>
      </c>
      <c r="Q73" s="67"/>
      <c r="R73" s="67"/>
      <c r="S73" s="63">
        <f t="shared" si="3"/>
        <v>1</v>
      </c>
      <c r="T73" s="67" t="str">
        <f t="shared" si="3"/>
        <v>式</v>
      </c>
      <c r="U73" s="65">
        <f t="shared" si="4"/>
        <v>0</v>
      </c>
      <c r="V73" s="66">
        <f t="shared" si="5"/>
        <v>0</v>
      </c>
      <c r="W73" s="67">
        <f t="shared" si="6"/>
        <v>0</v>
      </c>
    </row>
    <row r="74" spans="2:23" x14ac:dyDescent="0.4">
      <c r="B74" s="60"/>
      <c r="C74" s="60" t="s">
        <v>132</v>
      </c>
      <c r="D74" s="62"/>
      <c r="E74" s="62"/>
      <c r="F74" s="62"/>
      <c r="G74" s="61"/>
      <c r="H74" s="63">
        <f>ROUNDUP(1,2)</f>
        <v>1</v>
      </c>
      <c r="I74" s="64" t="s">
        <v>85</v>
      </c>
      <c r="J74" s="65">
        <f t="shared" si="36"/>
        <v>0</v>
      </c>
      <c r="K74" s="66">
        <f t="shared" si="0"/>
        <v>0</v>
      </c>
      <c r="L74" s="61"/>
      <c r="M74" s="67">
        <f t="shared" si="1"/>
        <v>0</v>
      </c>
      <c r="N74" s="67" t="str">
        <f t="shared" si="38"/>
        <v>７．基礎工事（設置後工事）</v>
      </c>
      <c r="O74" s="67"/>
      <c r="P74" s="67">
        <f t="shared" si="2"/>
        <v>0</v>
      </c>
      <c r="Q74" s="67"/>
      <c r="R74" s="67"/>
      <c r="S74" s="63">
        <f t="shared" si="3"/>
        <v>1</v>
      </c>
      <c r="T74" s="67" t="str">
        <f t="shared" si="3"/>
        <v>式</v>
      </c>
      <c r="U74" s="65">
        <f t="shared" si="4"/>
        <v>0</v>
      </c>
      <c r="V74" s="66">
        <f t="shared" si="5"/>
        <v>0</v>
      </c>
      <c r="W74" s="67">
        <f t="shared" si="6"/>
        <v>0</v>
      </c>
    </row>
    <row r="75" spans="2:23" x14ac:dyDescent="0.4">
      <c r="B75" s="60"/>
      <c r="C75" s="60" t="s">
        <v>149</v>
      </c>
      <c r="D75" s="62"/>
      <c r="E75" s="62"/>
      <c r="F75" s="62"/>
      <c r="G75" s="61"/>
      <c r="H75" s="63">
        <f>ROUNDUP(1,2)</f>
        <v>1</v>
      </c>
      <c r="I75" s="64" t="s">
        <v>85</v>
      </c>
      <c r="J75" s="65">
        <f t="shared" si="36"/>
        <v>0</v>
      </c>
      <c r="K75" s="66">
        <f>H75*J75</f>
        <v>0</v>
      </c>
      <c r="L75" s="61" t="s">
        <v>99</v>
      </c>
      <c r="M75" s="60">
        <f t="shared" si="1"/>
        <v>0</v>
      </c>
      <c r="N75" s="67" t="str">
        <f t="shared" si="38"/>
        <v>８．廃材処分費（家庭用ごみは別途料金が発生します）</v>
      </c>
      <c r="O75" s="67"/>
      <c r="P75" s="62"/>
      <c r="Q75" s="62"/>
      <c r="R75" s="61"/>
      <c r="S75" s="63">
        <f t="shared" si="3"/>
        <v>1</v>
      </c>
      <c r="T75" s="60" t="str">
        <f t="shared" si="3"/>
        <v>式</v>
      </c>
      <c r="U75" s="65">
        <f t="shared" si="4"/>
        <v>0</v>
      </c>
      <c r="V75" s="66">
        <f>S75*U75</f>
        <v>0</v>
      </c>
      <c r="W75" s="67" t="str">
        <f t="shared" si="6"/>
        <v>トン袋のみ</v>
      </c>
    </row>
    <row r="76" spans="2:23" x14ac:dyDescent="0.4">
      <c r="B76" s="60"/>
      <c r="C76" s="60" t="s">
        <v>134</v>
      </c>
      <c r="D76" s="62"/>
      <c r="E76" s="62"/>
      <c r="F76" s="62"/>
      <c r="G76" s="61"/>
      <c r="H76" s="63">
        <v>1</v>
      </c>
      <c r="I76" s="64" t="s">
        <v>85</v>
      </c>
      <c r="J76" s="65">
        <f t="shared" si="36"/>
        <v>0</v>
      </c>
      <c r="K76" s="66">
        <f>ROUNDDOWN(SUM(K68:K75)*$J$1,0)</f>
        <v>0</v>
      </c>
      <c r="L76" s="61"/>
      <c r="M76" s="60">
        <f t="shared" si="1"/>
        <v>0</v>
      </c>
      <c r="N76" s="67" t="str">
        <f t="shared" si="38"/>
        <v>９．別途現場諸費用（交通費、労災、安全管理費等）</v>
      </c>
      <c r="O76" s="67"/>
      <c r="P76" s="62"/>
      <c r="Q76" s="62"/>
      <c r="R76" s="61"/>
      <c r="S76" s="63">
        <f t="shared" si="3"/>
        <v>1</v>
      </c>
      <c r="T76" s="60" t="str">
        <f t="shared" si="3"/>
        <v>式</v>
      </c>
      <c r="U76" s="65"/>
      <c r="V76" s="66">
        <f>S76*U76</f>
        <v>0</v>
      </c>
      <c r="W76" s="67">
        <f t="shared" si="6"/>
        <v>0</v>
      </c>
    </row>
    <row r="77" spans="2:23" s="122" customFormat="1" x14ac:dyDescent="0.4">
      <c r="B77" s="149" t="s">
        <v>135</v>
      </c>
      <c r="C77" s="150"/>
      <c r="D77" s="150"/>
      <c r="E77" s="150"/>
      <c r="F77" s="150"/>
      <c r="G77" s="151"/>
      <c r="H77" s="152"/>
      <c r="I77" s="153"/>
      <c r="J77" s="154"/>
      <c r="K77" s="155">
        <f>SUM(K68:K76)</f>
        <v>0</v>
      </c>
      <c r="L77" s="150" t="s">
        <v>71</v>
      </c>
      <c r="M77" s="156" t="str">
        <f t="shared" si="1"/>
        <v>【別途工事計】</v>
      </c>
      <c r="N77" s="156"/>
      <c r="O77" s="156"/>
      <c r="P77" s="156">
        <f t="shared" ref="P77" si="47">E77</f>
        <v>0</v>
      </c>
      <c r="Q77" s="156"/>
      <c r="R77" s="156"/>
      <c r="S77" s="152">
        <f t="shared" ref="S77:T77" si="48">H77</f>
        <v>0</v>
      </c>
      <c r="T77" s="156">
        <f t="shared" si="48"/>
        <v>0</v>
      </c>
      <c r="U77" s="154">
        <f t="shared" ref="U77" si="49">ROUNDDOWN(J77*$K$1,0)</f>
        <v>0</v>
      </c>
      <c r="V77" s="155">
        <f>SUM(V68:V76)</f>
        <v>0</v>
      </c>
      <c r="W77" s="156" t="str">
        <f t="shared" si="6"/>
        <v>クリア塗装品</v>
      </c>
    </row>
    <row r="78" spans="2:23" x14ac:dyDescent="0.4">
      <c r="B78" s="98"/>
      <c r="C78" s="99"/>
      <c r="D78" s="99"/>
      <c r="E78" s="99"/>
      <c r="F78" s="99"/>
      <c r="G78" s="99"/>
      <c r="H78" s="70" t="s">
        <v>100</v>
      </c>
      <c r="I78" s="71"/>
      <c r="J78" s="72"/>
      <c r="K78" s="73">
        <f>SUM(K47,K67,K77)</f>
        <v>3869497</v>
      </c>
      <c r="L78" s="70" t="s">
        <v>101</v>
      </c>
      <c r="M78" s="137"/>
      <c r="N78" s="138"/>
      <c r="O78" s="138"/>
      <c r="P78" s="138"/>
      <c r="Q78" s="138"/>
      <c r="R78" s="138"/>
      <c r="S78" s="70" t="s">
        <v>100</v>
      </c>
      <c r="T78" s="71"/>
      <c r="U78" s="72"/>
      <c r="V78" s="73">
        <f>SUM(V47,V67,V77)</f>
        <v>5516690</v>
      </c>
      <c r="W78" s="70" t="s">
        <v>101</v>
      </c>
    </row>
    <row r="79" spans="2:23" x14ac:dyDescent="0.4">
      <c r="B79" s="98"/>
      <c r="C79" s="99"/>
      <c r="D79" s="99"/>
      <c r="E79" s="99"/>
      <c r="F79" s="99"/>
      <c r="G79" s="99"/>
      <c r="H79" s="74" t="s">
        <v>102</v>
      </c>
      <c r="I79" s="75"/>
      <c r="J79" s="76"/>
      <c r="K79" s="77">
        <v>-497</v>
      </c>
      <c r="L79" s="76">
        <f>SUM(K78:K79)</f>
        <v>3869000</v>
      </c>
      <c r="M79" s="137"/>
      <c r="N79" s="138"/>
      <c r="O79" s="138"/>
      <c r="P79" s="138"/>
      <c r="Q79" s="138"/>
      <c r="R79" s="138"/>
      <c r="S79" s="166" t="s">
        <v>102</v>
      </c>
      <c r="T79" s="167"/>
      <c r="U79" s="168"/>
      <c r="V79" s="169">
        <v>-690</v>
      </c>
      <c r="W79" s="168">
        <f>SUM(V78:V79)</f>
        <v>5516000</v>
      </c>
    </row>
    <row r="80" spans="2:23" x14ac:dyDescent="0.4">
      <c r="B80" s="98"/>
      <c r="C80" s="99"/>
      <c r="D80" s="99"/>
      <c r="E80" s="99"/>
      <c r="F80" s="99"/>
      <c r="G80" s="99"/>
      <c r="H80" s="78" t="s">
        <v>103</v>
      </c>
      <c r="I80" s="79"/>
      <c r="J80" s="79">
        <v>0.1</v>
      </c>
      <c r="K80" s="80">
        <f>ROUNDDOWN(L79*J80,0)</f>
        <v>386900</v>
      </c>
      <c r="L80" s="61"/>
      <c r="M80" s="137"/>
      <c r="N80" s="138"/>
      <c r="O80" s="138"/>
      <c r="P80" s="138"/>
      <c r="Q80" s="138"/>
      <c r="R80" s="138"/>
      <c r="S80" s="78" t="s">
        <v>103</v>
      </c>
      <c r="T80" s="79"/>
      <c r="U80" s="79">
        <v>0.1</v>
      </c>
      <c r="V80" s="80">
        <f>ROUNDDOWN(W79*U80,0)</f>
        <v>551600</v>
      </c>
      <c r="W80" s="61"/>
    </row>
    <row r="81" spans="2:23" x14ac:dyDescent="0.4">
      <c r="B81" s="98"/>
      <c r="C81" s="99"/>
      <c r="D81" s="99"/>
      <c r="E81" s="99"/>
      <c r="F81" s="99"/>
      <c r="G81" s="99"/>
      <c r="H81" s="81" t="s">
        <v>104</v>
      </c>
      <c r="I81" s="82"/>
      <c r="J81" s="83"/>
      <c r="K81" s="84">
        <f>SUM(L79,K80)</f>
        <v>4255900</v>
      </c>
      <c r="L81" s="85"/>
      <c r="M81" s="137"/>
      <c r="N81" s="138"/>
      <c r="O81" s="138"/>
      <c r="P81" s="138"/>
      <c r="Q81" s="138"/>
      <c r="R81" s="138"/>
      <c r="S81" s="161" t="s">
        <v>104</v>
      </c>
      <c r="T81" s="162"/>
      <c r="U81" s="163"/>
      <c r="V81" s="164">
        <f>SUM(W79,V80)</f>
        <v>6067600</v>
      </c>
      <c r="W81" s="165"/>
    </row>
    <row r="82" spans="2:23" ht="18" customHeight="1" x14ac:dyDescent="0.4">
      <c r="B82" s="98"/>
      <c r="C82" s="99"/>
      <c r="D82" s="99"/>
      <c r="E82" s="99"/>
      <c r="F82" s="99"/>
      <c r="G82" s="99"/>
      <c r="H82" s="92"/>
      <c r="I82" s="92"/>
      <c r="J82" s="93"/>
      <c r="K82" s="93"/>
      <c r="L82" s="94"/>
      <c r="M82" s="137"/>
      <c r="N82" s="138"/>
      <c r="O82" s="138"/>
      <c r="P82" s="138"/>
      <c r="Q82" s="138"/>
      <c r="R82" s="138"/>
      <c r="S82" s="136"/>
      <c r="T82" s="136"/>
      <c r="U82" s="97"/>
      <c r="V82" s="93"/>
      <c r="W82" s="94"/>
    </row>
    <row r="83" spans="2:23" ht="18" customHeight="1" x14ac:dyDescent="0.4">
      <c r="B83" s="98"/>
      <c r="C83" s="99"/>
      <c r="D83" s="99"/>
      <c r="E83" s="99"/>
      <c r="F83" s="99"/>
      <c r="G83" s="99"/>
      <c r="H83" s="99"/>
      <c r="I83" s="99"/>
      <c r="J83" s="100"/>
      <c r="K83" s="100"/>
      <c r="L83" s="101"/>
      <c r="M83" s="137"/>
      <c r="N83" s="138"/>
      <c r="O83" s="138"/>
      <c r="P83" s="138"/>
      <c r="Q83" s="138"/>
      <c r="R83" s="138"/>
      <c r="S83" s="138"/>
      <c r="T83" s="138"/>
      <c r="U83" s="104"/>
      <c r="V83" s="100"/>
      <c r="W83" s="101"/>
    </row>
    <row r="84" spans="2:23" ht="18" customHeight="1" x14ac:dyDescent="0.4">
      <c r="B84" s="98"/>
      <c r="C84" s="99"/>
      <c r="D84" s="99"/>
      <c r="E84" s="99"/>
      <c r="F84" s="99"/>
      <c r="G84" s="99"/>
      <c r="H84" s="99"/>
      <c r="I84" s="99"/>
      <c r="J84" s="100"/>
      <c r="K84" s="100"/>
      <c r="L84" s="101"/>
      <c r="M84" s="137"/>
      <c r="N84" s="138"/>
      <c r="O84" s="138"/>
      <c r="P84" s="138"/>
      <c r="Q84" s="138"/>
      <c r="R84" s="138"/>
      <c r="S84" s="138"/>
      <c r="T84" s="138"/>
      <c r="U84" s="104"/>
      <c r="V84" s="100"/>
      <c r="W84" s="101"/>
    </row>
    <row r="85" spans="2:23" ht="18" customHeight="1" x14ac:dyDescent="0.4">
      <c r="B85" s="98"/>
      <c r="C85" s="99"/>
      <c r="D85" s="99"/>
      <c r="E85" s="99"/>
      <c r="F85" s="99"/>
      <c r="G85" s="99"/>
      <c r="H85" s="99"/>
      <c r="I85" s="99"/>
      <c r="J85" s="100"/>
      <c r="K85" s="100"/>
      <c r="L85" s="101"/>
      <c r="M85" s="137"/>
      <c r="N85" s="138"/>
      <c r="O85" s="138"/>
      <c r="P85" s="138"/>
      <c r="Q85" s="138"/>
      <c r="R85" s="138"/>
      <c r="S85" s="138"/>
      <c r="T85" s="138"/>
      <c r="U85" s="104"/>
      <c r="V85" s="100"/>
      <c r="W85" s="101"/>
    </row>
    <row r="86" spans="2:23" ht="18" customHeight="1" x14ac:dyDescent="0.4">
      <c r="B86" s="98"/>
      <c r="C86" s="99"/>
      <c r="D86" s="99"/>
      <c r="E86" s="99"/>
      <c r="F86" s="99"/>
      <c r="G86" s="99"/>
      <c r="H86" s="99"/>
      <c r="I86" s="99"/>
      <c r="J86" s="100"/>
      <c r="K86" s="100"/>
      <c r="L86" s="101"/>
      <c r="M86" s="137"/>
      <c r="N86" s="138"/>
      <c r="O86" s="138"/>
      <c r="P86" s="138"/>
      <c r="Q86" s="138"/>
      <c r="R86" s="138"/>
      <c r="S86" s="138"/>
      <c r="T86" s="138"/>
      <c r="U86" s="104"/>
      <c r="V86" s="100"/>
      <c r="W86" s="101"/>
    </row>
    <row r="87" spans="2:23" ht="18" customHeight="1" x14ac:dyDescent="0.4">
      <c r="B87" s="98"/>
      <c r="C87" s="99"/>
      <c r="D87" s="99"/>
      <c r="E87" s="99"/>
      <c r="F87" s="99"/>
      <c r="G87" s="99"/>
      <c r="H87" s="99"/>
      <c r="I87" s="99"/>
      <c r="J87" s="100"/>
      <c r="K87" s="100"/>
      <c r="L87" s="101"/>
      <c r="M87" s="137"/>
      <c r="N87" s="138"/>
      <c r="O87" s="138"/>
      <c r="P87" s="138"/>
      <c r="Q87" s="138"/>
      <c r="R87" s="138"/>
      <c r="S87" s="138"/>
      <c r="T87" s="138"/>
      <c r="U87" s="104"/>
      <c r="V87" s="100"/>
      <c r="W87" s="101"/>
    </row>
    <row r="88" spans="2:23" ht="18" customHeight="1" x14ac:dyDescent="0.4">
      <c r="B88" s="98"/>
      <c r="C88" s="99"/>
      <c r="D88" s="99"/>
      <c r="E88" s="99"/>
      <c r="F88" s="99"/>
      <c r="G88" s="99"/>
      <c r="H88" s="99"/>
      <c r="I88" s="99"/>
      <c r="J88" s="100"/>
      <c r="K88" s="100"/>
      <c r="L88" s="101"/>
      <c r="M88" s="137"/>
      <c r="N88" s="138"/>
      <c r="O88" s="138"/>
      <c r="P88" s="138"/>
      <c r="Q88" s="138"/>
      <c r="R88" s="138"/>
      <c r="S88" s="138"/>
      <c r="T88" s="138"/>
      <c r="U88" s="104"/>
      <c r="V88" s="100"/>
      <c r="W88" s="101"/>
    </row>
    <row r="89" spans="2:23" ht="18" customHeight="1" x14ac:dyDescent="0.4">
      <c r="B89" s="98"/>
      <c r="C89" s="99"/>
      <c r="D89" s="99"/>
      <c r="E89" s="99"/>
      <c r="F89" s="99"/>
      <c r="G89" s="99"/>
      <c r="H89" s="99"/>
      <c r="I89" s="99"/>
      <c r="J89" s="100"/>
      <c r="K89" s="100"/>
      <c r="L89" s="101"/>
      <c r="M89" s="137"/>
      <c r="N89" s="138"/>
      <c r="O89" s="138"/>
      <c r="P89" s="138"/>
      <c r="Q89" s="138"/>
      <c r="R89" s="138"/>
      <c r="S89" s="138"/>
      <c r="T89" s="138"/>
      <c r="U89" s="104"/>
      <c r="V89" s="100"/>
      <c r="W89" s="101"/>
    </row>
    <row r="90" spans="2:23" ht="18" customHeight="1" x14ac:dyDescent="0.4">
      <c r="B90" s="98"/>
      <c r="C90" s="99"/>
      <c r="D90" s="99"/>
      <c r="E90" s="99"/>
      <c r="F90" s="99"/>
      <c r="G90" s="99"/>
      <c r="H90" s="99"/>
      <c r="I90" s="99"/>
      <c r="J90" s="100"/>
      <c r="K90" s="100"/>
      <c r="L90" s="101"/>
      <c r="M90" s="137"/>
      <c r="N90" s="138"/>
      <c r="O90" s="138"/>
      <c r="P90" s="138"/>
      <c r="Q90" s="138"/>
      <c r="R90" s="138"/>
      <c r="S90" s="138"/>
      <c r="T90" s="138"/>
      <c r="U90" s="104"/>
      <c r="V90" s="100"/>
      <c r="W90" s="101"/>
    </row>
    <row r="91" spans="2:23" ht="18" customHeight="1" x14ac:dyDescent="0.4">
      <c r="B91" s="98"/>
      <c r="C91" s="99"/>
      <c r="D91" s="99"/>
      <c r="E91" s="99"/>
      <c r="F91" s="99"/>
      <c r="G91" s="99"/>
      <c r="H91" s="99"/>
      <c r="I91" s="99"/>
      <c r="J91" s="100"/>
      <c r="K91" s="100"/>
      <c r="L91" s="101"/>
      <c r="M91" s="137"/>
      <c r="N91" s="138"/>
      <c r="O91" s="138"/>
      <c r="P91" s="138"/>
      <c r="Q91" s="138"/>
      <c r="R91" s="138"/>
      <c r="S91" s="138"/>
      <c r="T91" s="138"/>
      <c r="U91" s="104"/>
      <c r="V91" s="100"/>
      <c r="W91" s="101"/>
    </row>
    <row r="92" spans="2:23" ht="18" customHeight="1" x14ac:dyDescent="0.4">
      <c r="B92" s="98"/>
      <c r="C92" s="99"/>
      <c r="D92" s="99"/>
      <c r="E92" s="99"/>
      <c r="F92" s="99"/>
      <c r="G92" s="99"/>
      <c r="H92" s="99"/>
      <c r="I92" s="99"/>
      <c r="J92" s="100"/>
      <c r="K92" s="100"/>
      <c r="L92" s="101"/>
      <c r="M92" s="137"/>
      <c r="N92" s="138"/>
      <c r="O92" s="138"/>
      <c r="P92" s="138"/>
      <c r="Q92" s="138"/>
      <c r="R92" s="138"/>
      <c r="S92" s="138"/>
      <c r="T92" s="138"/>
      <c r="U92" s="104"/>
      <c r="V92" s="100"/>
      <c r="W92" s="101"/>
    </row>
    <row r="93" spans="2:23" ht="18" customHeight="1" x14ac:dyDescent="0.4">
      <c r="B93" s="98"/>
      <c r="C93" s="99"/>
      <c r="D93" s="99"/>
      <c r="E93" s="99"/>
      <c r="F93" s="99"/>
      <c r="G93" s="99"/>
      <c r="H93" s="99"/>
      <c r="I93" s="99"/>
      <c r="J93" s="100"/>
      <c r="K93" s="100"/>
      <c r="L93" s="101"/>
      <c r="M93" s="137"/>
      <c r="N93" s="138"/>
      <c r="O93" s="138"/>
      <c r="P93" s="138"/>
      <c r="Q93" s="138"/>
      <c r="R93" s="138"/>
      <c r="S93" s="138"/>
      <c r="T93" s="138"/>
      <c r="U93" s="104"/>
      <c r="V93" s="100"/>
      <c r="W93" s="101"/>
    </row>
    <row r="94" spans="2:23" ht="18" customHeight="1" x14ac:dyDescent="0.4">
      <c r="B94" s="98"/>
      <c r="C94" s="99"/>
      <c r="D94" s="99"/>
      <c r="E94" s="99"/>
      <c r="F94" s="99"/>
      <c r="G94" s="99"/>
      <c r="H94" s="99"/>
      <c r="I94" s="99"/>
      <c r="J94" s="100"/>
      <c r="K94" s="100"/>
      <c r="L94" s="101"/>
      <c r="M94" s="137"/>
      <c r="N94" s="138"/>
      <c r="O94" s="138"/>
      <c r="P94" s="138"/>
      <c r="Q94" s="138"/>
      <c r="R94" s="138"/>
      <c r="S94" s="138"/>
      <c r="T94" s="138"/>
      <c r="U94" s="104"/>
      <c r="V94" s="100"/>
      <c r="W94" s="101"/>
    </row>
    <row r="95" spans="2:23" ht="18" customHeight="1" x14ac:dyDescent="0.4">
      <c r="B95" s="98"/>
      <c r="C95" s="99"/>
      <c r="D95" s="99"/>
      <c r="E95" s="99"/>
      <c r="F95" s="99"/>
      <c r="G95" s="99"/>
      <c r="H95" s="99"/>
      <c r="I95" s="99"/>
      <c r="J95" s="100"/>
      <c r="K95" s="100"/>
      <c r="L95" s="101"/>
      <c r="M95" s="137"/>
      <c r="N95" s="138"/>
      <c r="O95" s="138"/>
      <c r="P95" s="138"/>
      <c r="Q95" s="138"/>
      <c r="R95" s="138"/>
      <c r="S95" s="138"/>
      <c r="T95" s="138"/>
      <c r="U95" s="104"/>
      <c r="V95" s="100"/>
      <c r="W95" s="101"/>
    </row>
    <row r="96" spans="2:23" ht="18" customHeight="1" x14ac:dyDescent="0.4">
      <c r="B96" s="98"/>
      <c r="C96" s="99"/>
      <c r="D96" s="99"/>
      <c r="E96" s="99"/>
      <c r="F96" s="99"/>
      <c r="G96" s="99"/>
      <c r="H96" s="99"/>
      <c r="I96" s="99"/>
      <c r="J96" s="100"/>
      <c r="K96" s="100"/>
      <c r="L96" s="101"/>
      <c r="M96" s="137"/>
      <c r="N96" s="138"/>
      <c r="O96" s="138"/>
      <c r="P96" s="138"/>
      <c r="Q96" s="138"/>
      <c r="R96" s="138"/>
      <c r="S96" s="138"/>
      <c r="T96" s="138"/>
      <c r="U96" s="104"/>
      <c r="V96" s="100"/>
      <c r="W96" s="101"/>
    </row>
    <row r="97" spans="2:23" ht="18" customHeight="1" x14ac:dyDescent="0.4">
      <c r="B97" s="98"/>
      <c r="C97" s="99"/>
      <c r="D97" s="99"/>
      <c r="E97" s="99"/>
      <c r="F97" s="99"/>
      <c r="G97" s="99"/>
      <c r="H97" s="99"/>
      <c r="I97" s="99"/>
      <c r="J97" s="100"/>
      <c r="K97" s="100"/>
      <c r="L97" s="101"/>
      <c r="M97" s="137"/>
      <c r="N97" s="138"/>
      <c r="O97" s="138"/>
      <c r="P97" s="138"/>
      <c r="Q97" s="138"/>
      <c r="R97" s="138"/>
      <c r="S97" s="138"/>
      <c r="T97" s="138"/>
      <c r="U97" s="104"/>
      <c r="V97" s="100"/>
      <c r="W97" s="101"/>
    </row>
    <row r="98" spans="2:23" ht="18" customHeight="1" x14ac:dyDescent="0.4">
      <c r="B98" s="98"/>
      <c r="C98" s="99"/>
      <c r="D98" s="99"/>
      <c r="E98" s="99"/>
      <c r="F98" s="99"/>
      <c r="G98" s="99"/>
      <c r="H98" s="99"/>
      <c r="I98" s="99"/>
      <c r="J98" s="100"/>
      <c r="K98" s="100"/>
      <c r="L98" s="101"/>
      <c r="M98" s="137"/>
      <c r="N98" s="138"/>
      <c r="O98" s="138"/>
      <c r="P98" s="138"/>
      <c r="Q98" s="138"/>
      <c r="R98" s="138"/>
      <c r="S98" s="138"/>
      <c r="T98" s="138"/>
      <c r="U98" s="104"/>
      <c r="V98" s="100"/>
      <c r="W98" s="101"/>
    </row>
    <row r="99" spans="2:23" ht="18" customHeight="1" x14ac:dyDescent="0.4">
      <c r="B99" s="98"/>
      <c r="C99" s="99"/>
      <c r="D99" s="99"/>
      <c r="E99" s="99"/>
      <c r="F99" s="99"/>
      <c r="G99" s="99"/>
      <c r="H99" s="99"/>
      <c r="I99" s="99"/>
      <c r="J99" s="100"/>
      <c r="K99" s="100"/>
      <c r="L99" s="101"/>
      <c r="M99" s="137"/>
      <c r="N99" s="138"/>
      <c r="O99" s="138"/>
      <c r="P99" s="138"/>
      <c r="Q99" s="138"/>
      <c r="R99" s="138"/>
      <c r="S99" s="138"/>
      <c r="T99" s="138"/>
      <c r="U99" s="104"/>
      <c r="V99" s="100"/>
      <c r="W99" s="101"/>
    </row>
    <row r="100" spans="2:23" ht="18" customHeight="1" x14ac:dyDescent="0.4">
      <c r="B100" s="98"/>
      <c r="C100" s="99"/>
      <c r="D100" s="99"/>
      <c r="E100" s="99"/>
      <c r="F100" s="99"/>
      <c r="G100" s="99"/>
      <c r="H100" s="99"/>
      <c r="I100" s="99"/>
      <c r="J100" s="100"/>
      <c r="K100" s="100"/>
      <c r="L100" s="101"/>
      <c r="M100" s="137"/>
      <c r="N100" s="138"/>
      <c r="O100" s="138"/>
      <c r="P100" s="138"/>
      <c r="Q100" s="138"/>
      <c r="R100" s="138"/>
      <c r="S100" s="138"/>
      <c r="T100" s="138"/>
      <c r="U100" s="104"/>
      <c r="V100" s="100"/>
      <c r="W100" s="101"/>
    </row>
    <row r="101" spans="2:23" ht="18" customHeight="1" x14ac:dyDescent="0.4">
      <c r="B101" s="98"/>
      <c r="C101" s="99"/>
      <c r="D101" s="99"/>
      <c r="E101" s="99"/>
      <c r="F101" s="99"/>
      <c r="G101" s="99"/>
      <c r="H101" s="99"/>
      <c r="I101" s="99"/>
      <c r="J101" s="100"/>
      <c r="K101" s="100"/>
      <c r="L101" s="101"/>
      <c r="M101" s="137"/>
      <c r="N101" s="138"/>
      <c r="O101" s="138"/>
      <c r="P101" s="138"/>
      <c r="Q101" s="138"/>
      <c r="R101" s="138"/>
      <c r="S101" s="138"/>
      <c r="T101" s="138"/>
      <c r="U101" s="104"/>
      <c r="V101" s="100"/>
      <c r="W101" s="101"/>
    </row>
    <row r="102" spans="2:23" ht="18" customHeight="1" x14ac:dyDescent="0.4">
      <c r="B102" s="98"/>
      <c r="C102" s="99"/>
      <c r="D102" s="99"/>
      <c r="E102" s="99"/>
      <c r="F102" s="99"/>
      <c r="G102" s="99"/>
      <c r="H102" s="99"/>
      <c r="I102" s="99"/>
      <c r="J102" s="100"/>
      <c r="K102" s="100"/>
      <c r="L102" s="101"/>
      <c r="M102" s="137"/>
      <c r="N102" s="138"/>
      <c r="O102" s="138"/>
      <c r="P102" s="138"/>
      <c r="Q102" s="138"/>
      <c r="R102" s="138"/>
      <c r="S102" s="138"/>
      <c r="T102" s="138"/>
      <c r="U102" s="104"/>
      <c r="V102" s="100"/>
      <c r="W102" s="101"/>
    </row>
    <row r="103" spans="2:23" ht="18" customHeight="1" x14ac:dyDescent="0.4">
      <c r="B103" s="105"/>
      <c r="C103" s="106"/>
      <c r="D103" s="106"/>
      <c r="E103" s="106"/>
      <c r="F103" s="106"/>
      <c r="G103" s="106"/>
      <c r="H103" s="106"/>
      <c r="I103" s="106"/>
      <c r="J103" s="107"/>
      <c r="K103" s="107"/>
      <c r="L103" s="108"/>
      <c r="M103" s="139"/>
      <c r="N103" s="140"/>
      <c r="O103" s="140"/>
      <c r="P103" s="140"/>
      <c r="Q103" s="140"/>
      <c r="R103" s="140"/>
      <c r="S103" s="140"/>
      <c r="T103" s="140"/>
      <c r="U103" s="111"/>
      <c r="V103" s="107"/>
      <c r="W103" s="108"/>
    </row>
    <row r="104" spans="2:23" ht="18" customHeight="1" x14ac:dyDescent="0.4">
      <c r="B104" s="86"/>
      <c r="C104" s="87"/>
      <c r="D104" s="87"/>
      <c r="E104" s="87"/>
      <c r="F104" s="87"/>
      <c r="G104" s="87"/>
      <c r="H104" s="87"/>
      <c r="I104" s="87"/>
      <c r="J104" s="88"/>
      <c r="K104" s="87"/>
      <c r="L104" s="89"/>
      <c r="M104" s="90"/>
      <c r="N104" s="87"/>
      <c r="O104" s="87"/>
      <c r="P104" s="87"/>
      <c r="Q104" s="87"/>
      <c r="R104" s="87"/>
      <c r="S104" s="87"/>
      <c r="T104" s="87"/>
      <c r="U104" s="88"/>
      <c r="V104" s="87"/>
      <c r="W104" s="89"/>
    </row>
    <row r="105" spans="2:23" ht="18" customHeight="1" x14ac:dyDescent="0.4">
      <c r="B105" s="91"/>
      <c r="C105" s="92"/>
      <c r="D105" s="92"/>
      <c r="E105" s="92"/>
      <c r="F105" s="92"/>
      <c r="G105" s="92"/>
      <c r="H105" s="92"/>
      <c r="I105" s="92"/>
      <c r="J105" s="93"/>
      <c r="K105" s="93"/>
      <c r="L105" s="94"/>
      <c r="M105" s="95"/>
      <c r="N105" s="96"/>
      <c r="O105" s="96"/>
      <c r="P105" s="96"/>
      <c r="Q105" s="96"/>
      <c r="R105" s="96"/>
      <c r="S105" s="96"/>
      <c r="T105" s="96"/>
      <c r="U105" s="97"/>
      <c r="V105" s="93"/>
      <c r="W105" s="94"/>
    </row>
    <row r="106" spans="2:23" ht="18" customHeight="1" x14ac:dyDescent="0.4">
      <c r="B106" s="98"/>
      <c r="C106" s="99"/>
      <c r="D106" s="99"/>
      <c r="E106" s="99"/>
      <c r="F106" s="99"/>
      <c r="G106" s="99"/>
      <c r="H106" s="99"/>
      <c r="I106" s="99"/>
      <c r="J106" s="100"/>
      <c r="K106" s="100"/>
      <c r="L106" s="101"/>
      <c r="M106" s="102"/>
      <c r="N106" s="103"/>
      <c r="O106" s="103"/>
      <c r="P106" s="103"/>
      <c r="Q106" s="103"/>
      <c r="R106" s="103"/>
      <c r="S106" s="103"/>
      <c r="T106" s="103"/>
      <c r="U106" s="104"/>
      <c r="V106" s="100"/>
      <c r="W106" s="101"/>
    </row>
    <row r="107" spans="2:23" ht="18" customHeight="1" x14ac:dyDescent="0.4">
      <c r="B107" s="98"/>
      <c r="C107" s="99"/>
      <c r="D107" s="99"/>
      <c r="E107" s="99"/>
      <c r="F107" s="99"/>
      <c r="G107" s="99"/>
      <c r="H107" s="99"/>
      <c r="I107" s="99"/>
      <c r="J107" s="100"/>
      <c r="K107" s="100"/>
      <c r="L107" s="101"/>
      <c r="M107" s="102"/>
      <c r="N107" s="103"/>
      <c r="O107" s="103"/>
      <c r="P107" s="103"/>
      <c r="Q107" s="103"/>
      <c r="R107" s="103"/>
      <c r="S107" s="103"/>
      <c r="T107" s="103"/>
      <c r="U107" s="104"/>
      <c r="V107" s="100"/>
      <c r="W107" s="101"/>
    </row>
    <row r="108" spans="2:23" ht="18" customHeight="1" x14ac:dyDescent="0.4">
      <c r="B108" s="98"/>
      <c r="C108" s="99"/>
      <c r="D108" s="99"/>
      <c r="E108" s="99"/>
      <c r="F108" s="99"/>
      <c r="G108" s="99"/>
      <c r="H108" s="99"/>
      <c r="I108" s="99"/>
      <c r="J108" s="100"/>
      <c r="K108" s="100"/>
      <c r="L108" s="101"/>
      <c r="M108" s="102"/>
      <c r="N108" s="103"/>
      <c r="O108" s="103"/>
      <c r="P108" s="103"/>
      <c r="Q108" s="103"/>
      <c r="R108" s="103"/>
      <c r="S108" s="103"/>
      <c r="T108" s="103"/>
      <c r="U108" s="104"/>
      <c r="V108" s="100"/>
      <c r="W108" s="101"/>
    </row>
    <row r="109" spans="2:23" ht="18" customHeight="1" x14ac:dyDescent="0.4">
      <c r="B109" s="98"/>
      <c r="C109" s="99"/>
      <c r="D109" s="99"/>
      <c r="E109" s="99"/>
      <c r="F109" s="99"/>
      <c r="G109" s="99"/>
      <c r="H109" s="99"/>
      <c r="I109" s="99"/>
      <c r="J109" s="100"/>
      <c r="K109" s="100"/>
      <c r="L109" s="101"/>
      <c r="M109" s="102"/>
      <c r="N109" s="103"/>
      <c r="O109" s="103"/>
      <c r="P109" s="103"/>
      <c r="Q109" s="103"/>
      <c r="R109" s="103"/>
      <c r="S109" s="103"/>
      <c r="T109" s="103"/>
      <c r="U109" s="104"/>
      <c r="V109" s="100"/>
      <c r="W109" s="101"/>
    </row>
    <row r="110" spans="2:23" ht="18" customHeight="1" x14ac:dyDescent="0.4">
      <c r="B110" s="98"/>
      <c r="C110" s="99"/>
      <c r="D110" s="99"/>
      <c r="E110" s="99"/>
      <c r="F110" s="99"/>
      <c r="G110" s="99"/>
      <c r="H110" s="99"/>
      <c r="I110" s="99"/>
      <c r="J110" s="100"/>
      <c r="K110" s="100"/>
      <c r="L110" s="101"/>
      <c r="M110" s="102"/>
      <c r="N110" s="103"/>
      <c r="O110" s="103"/>
      <c r="P110" s="103"/>
      <c r="Q110" s="103"/>
      <c r="R110" s="103"/>
      <c r="S110" s="103"/>
      <c r="T110" s="103"/>
      <c r="U110" s="104"/>
      <c r="V110" s="100"/>
      <c r="W110" s="101"/>
    </row>
    <row r="111" spans="2:23" ht="18" customHeight="1" x14ac:dyDescent="0.4">
      <c r="B111" s="98"/>
      <c r="C111" s="99"/>
      <c r="D111" s="99"/>
      <c r="E111" s="99"/>
      <c r="F111" s="99"/>
      <c r="G111" s="99"/>
      <c r="H111" s="99"/>
      <c r="I111" s="99"/>
      <c r="J111" s="100"/>
      <c r="K111" s="100"/>
      <c r="L111" s="101"/>
      <c r="M111" s="102"/>
      <c r="N111" s="103"/>
      <c r="O111" s="103"/>
      <c r="P111" s="103"/>
      <c r="Q111" s="103"/>
      <c r="R111" s="103"/>
      <c r="S111" s="103"/>
      <c r="T111" s="103"/>
      <c r="U111" s="104"/>
      <c r="V111" s="100"/>
      <c r="W111" s="101"/>
    </row>
    <row r="112" spans="2:23" ht="18" customHeight="1" x14ac:dyDescent="0.4">
      <c r="B112" s="98"/>
      <c r="C112" s="99"/>
      <c r="D112" s="99"/>
      <c r="E112" s="99"/>
      <c r="F112" s="99"/>
      <c r="G112" s="99"/>
      <c r="H112" s="99"/>
      <c r="I112" s="99"/>
      <c r="J112" s="100"/>
      <c r="K112" s="100"/>
      <c r="L112" s="101"/>
      <c r="M112" s="102"/>
      <c r="N112" s="103"/>
      <c r="O112" s="103"/>
      <c r="P112" s="103"/>
      <c r="Q112" s="103"/>
      <c r="R112" s="103"/>
      <c r="S112" s="103"/>
      <c r="T112" s="103"/>
      <c r="U112" s="104"/>
      <c r="V112" s="100"/>
      <c r="W112" s="101"/>
    </row>
    <row r="113" spans="2:23" ht="18" customHeight="1" x14ac:dyDescent="0.4">
      <c r="B113" s="98"/>
      <c r="C113" s="99"/>
      <c r="D113" s="99"/>
      <c r="E113" s="99"/>
      <c r="F113" s="99"/>
      <c r="G113" s="99"/>
      <c r="H113" s="99"/>
      <c r="I113" s="99"/>
      <c r="J113" s="100"/>
      <c r="K113" s="100"/>
      <c r="L113" s="101"/>
      <c r="M113" s="102"/>
      <c r="N113" s="103"/>
      <c r="O113" s="103"/>
      <c r="P113" s="103"/>
      <c r="Q113" s="103"/>
      <c r="R113" s="103"/>
      <c r="S113" s="103"/>
      <c r="T113" s="103"/>
      <c r="U113" s="104"/>
      <c r="V113" s="100"/>
      <c r="W113" s="101"/>
    </row>
    <row r="114" spans="2:23" ht="18" customHeight="1" x14ac:dyDescent="0.4">
      <c r="B114" s="105"/>
      <c r="C114" s="106"/>
      <c r="D114" s="106"/>
      <c r="E114" s="106"/>
      <c r="F114" s="106"/>
      <c r="G114" s="106"/>
      <c r="H114" s="106"/>
      <c r="I114" s="106"/>
      <c r="J114" s="107"/>
      <c r="K114" s="107"/>
      <c r="L114" s="108"/>
      <c r="M114" s="109"/>
      <c r="N114" s="110"/>
      <c r="O114" s="110"/>
      <c r="P114" s="110"/>
      <c r="Q114" s="110"/>
      <c r="R114" s="110"/>
      <c r="S114" s="110"/>
      <c r="T114" s="110"/>
      <c r="U114" s="111"/>
      <c r="V114" s="107"/>
      <c r="W114" s="108"/>
    </row>
    <row r="115" spans="2:23" ht="18" customHeight="1" x14ac:dyDescent="0.4">
      <c r="B115" s="86"/>
      <c r="C115" s="87"/>
      <c r="D115" s="87"/>
      <c r="E115" s="87"/>
      <c r="F115" s="87"/>
      <c r="G115" s="87"/>
      <c r="H115" s="87"/>
      <c r="I115" s="87"/>
      <c r="J115" s="88"/>
      <c r="K115" s="87"/>
      <c r="L115" s="89"/>
      <c r="M115" s="90"/>
      <c r="N115" s="87"/>
      <c r="O115" s="87"/>
      <c r="P115" s="87"/>
      <c r="Q115" s="87"/>
      <c r="R115" s="87"/>
      <c r="S115" s="87"/>
      <c r="T115" s="87"/>
      <c r="U115" s="88"/>
      <c r="V115" s="87"/>
      <c r="W115" s="89"/>
    </row>
    <row r="116" spans="2:23" ht="18" customHeight="1" x14ac:dyDescent="0.4">
      <c r="B116" s="91"/>
      <c r="C116" s="92"/>
      <c r="D116" s="92"/>
      <c r="E116" s="92"/>
      <c r="F116" s="92"/>
      <c r="G116" s="92"/>
      <c r="H116" s="92"/>
      <c r="I116" s="92"/>
      <c r="J116" s="93"/>
      <c r="K116" s="93"/>
      <c r="L116" s="94"/>
      <c r="M116" s="95"/>
      <c r="N116" s="96"/>
      <c r="O116" s="96"/>
      <c r="P116" s="96"/>
      <c r="Q116" s="96"/>
      <c r="R116" s="96"/>
      <c r="S116" s="96"/>
      <c r="T116" s="96"/>
      <c r="U116" s="97"/>
      <c r="V116" s="93"/>
      <c r="W116" s="94"/>
    </row>
    <row r="117" spans="2:23" ht="18" customHeight="1" x14ac:dyDescent="0.4">
      <c r="B117" s="98"/>
      <c r="C117" s="99"/>
      <c r="D117" s="99"/>
      <c r="E117" s="99"/>
      <c r="F117" s="99"/>
      <c r="G117" s="99"/>
      <c r="H117" s="99"/>
      <c r="I117" s="99"/>
      <c r="J117" s="100"/>
      <c r="K117" s="100"/>
      <c r="L117" s="101"/>
      <c r="M117" s="102"/>
      <c r="N117" s="103"/>
      <c r="O117" s="103"/>
      <c r="P117" s="103"/>
      <c r="Q117" s="103"/>
      <c r="R117" s="103"/>
      <c r="S117" s="103"/>
      <c r="T117" s="103"/>
      <c r="U117" s="104"/>
      <c r="V117" s="100"/>
      <c r="W117" s="101"/>
    </row>
    <row r="118" spans="2:23" ht="18" customHeight="1" x14ac:dyDescent="0.4">
      <c r="B118" s="98"/>
      <c r="C118" s="99"/>
      <c r="D118" s="99"/>
      <c r="E118" s="99"/>
      <c r="F118" s="99"/>
      <c r="G118" s="99"/>
      <c r="H118" s="99"/>
      <c r="I118" s="99"/>
      <c r="J118" s="100"/>
      <c r="K118" s="100"/>
      <c r="L118" s="101"/>
      <c r="M118" s="102"/>
      <c r="N118" s="103"/>
      <c r="O118" s="103"/>
      <c r="P118" s="103"/>
      <c r="Q118" s="103"/>
      <c r="R118" s="103"/>
      <c r="S118" s="103"/>
      <c r="T118" s="103"/>
      <c r="U118" s="104"/>
      <c r="V118" s="100"/>
      <c r="W118" s="101"/>
    </row>
    <row r="119" spans="2:23" ht="18" customHeight="1" x14ac:dyDescent="0.4">
      <c r="B119" s="98"/>
      <c r="C119" s="99"/>
      <c r="D119" s="99"/>
      <c r="E119" s="99"/>
      <c r="F119" s="99"/>
      <c r="G119" s="99"/>
      <c r="H119" s="99"/>
      <c r="I119" s="99"/>
      <c r="J119" s="100"/>
      <c r="K119" s="100"/>
      <c r="L119" s="101"/>
      <c r="M119" s="102"/>
      <c r="N119" s="103"/>
      <c r="O119" s="103"/>
      <c r="P119" s="103"/>
      <c r="Q119" s="103"/>
      <c r="R119" s="103"/>
      <c r="S119" s="103"/>
      <c r="T119" s="103"/>
      <c r="U119" s="104"/>
      <c r="V119" s="100"/>
      <c r="W119" s="101"/>
    </row>
    <row r="120" spans="2:23" ht="18" customHeight="1" x14ac:dyDescent="0.4">
      <c r="B120" s="98"/>
      <c r="C120" s="99"/>
      <c r="D120" s="99"/>
      <c r="E120" s="99"/>
      <c r="F120" s="99"/>
      <c r="G120" s="99"/>
      <c r="H120" s="99"/>
      <c r="I120" s="99"/>
      <c r="J120" s="100"/>
      <c r="K120" s="100"/>
      <c r="L120" s="101"/>
      <c r="M120" s="102"/>
      <c r="N120" s="103"/>
      <c r="O120" s="103"/>
      <c r="P120" s="103"/>
      <c r="Q120" s="103"/>
      <c r="R120" s="103"/>
      <c r="S120" s="103"/>
      <c r="T120" s="103"/>
      <c r="U120" s="104"/>
      <c r="V120" s="100"/>
      <c r="W120" s="101"/>
    </row>
    <row r="121" spans="2:23" ht="18" customHeight="1" x14ac:dyDescent="0.4">
      <c r="B121" s="98"/>
      <c r="C121" s="99"/>
      <c r="D121" s="99"/>
      <c r="E121" s="99"/>
      <c r="F121" s="99"/>
      <c r="G121" s="99"/>
      <c r="H121" s="99"/>
      <c r="I121" s="99"/>
      <c r="J121" s="100"/>
      <c r="K121" s="100"/>
      <c r="L121" s="101"/>
      <c r="M121" s="102"/>
      <c r="N121" s="103"/>
      <c r="O121" s="103"/>
      <c r="P121" s="103"/>
      <c r="Q121" s="103"/>
      <c r="R121" s="103"/>
      <c r="S121" s="103"/>
      <c r="T121" s="103"/>
      <c r="U121" s="104"/>
      <c r="V121" s="100"/>
      <c r="W121" s="101"/>
    </row>
    <row r="122" spans="2:23" ht="18" customHeight="1" x14ac:dyDescent="0.4">
      <c r="B122" s="98"/>
      <c r="C122" s="99"/>
      <c r="D122" s="99"/>
      <c r="E122" s="99"/>
      <c r="F122" s="99"/>
      <c r="G122" s="99"/>
      <c r="H122" s="99"/>
      <c r="I122" s="99"/>
      <c r="J122" s="100"/>
      <c r="K122" s="100"/>
      <c r="L122" s="101"/>
      <c r="M122" s="102"/>
      <c r="N122" s="103"/>
      <c r="O122" s="103"/>
      <c r="P122" s="103"/>
      <c r="Q122" s="103"/>
      <c r="R122" s="103"/>
      <c r="S122" s="103"/>
      <c r="T122" s="103"/>
      <c r="U122" s="104"/>
      <c r="V122" s="100"/>
      <c r="W122" s="101"/>
    </row>
    <row r="123" spans="2:23" ht="18" customHeight="1" x14ac:dyDescent="0.4">
      <c r="B123" s="98"/>
      <c r="C123" s="99"/>
      <c r="D123" s="99"/>
      <c r="E123" s="99"/>
      <c r="F123" s="99"/>
      <c r="G123" s="99"/>
      <c r="H123" s="99"/>
      <c r="I123" s="99"/>
      <c r="J123" s="100"/>
      <c r="K123" s="100"/>
      <c r="L123" s="101"/>
      <c r="M123" s="102"/>
      <c r="N123" s="103"/>
      <c r="O123" s="103"/>
      <c r="P123" s="103"/>
      <c r="Q123" s="103"/>
      <c r="R123" s="103"/>
      <c r="S123" s="103"/>
      <c r="T123" s="103"/>
      <c r="U123" s="104"/>
      <c r="V123" s="100"/>
      <c r="W123" s="101"/>
    </row>
    <row r="124" spans="2:23" ht="18" customHeight="1" x14ac:dyDescent="0.4">
      <c r="B124" s="98"/>
      <c r="C124" s="99"/>
      <c r="D124" s="99"/>
      <c r="E124" s="99"/>
      <c r="F124" s="99"/>
      <c r="G124" s="99"/>
      <c r="H124" s="99"/>
      <c r="I124" s="99"/>
      <c r="J124" s="100"/>
      <c r="K124" s="100"/>
      <c r="L124" s="101"/>
      <c r="M124" s="102"/>
      <c r="N124" s="103"/>
      <c r="O124" s="103"/>
      <c r="P124" s="103"/>
      <c r="Q124" s="103"/>
      <c r="R124" s="103"/>
      <c r="S124" s="103"/>
      <c r="T124" s="103"/>
      <c r="U124" s="104"/>
      <c r="V124" s="100"/>
      <c r="W124" s="101"/>
    </row>
    <row r="125" spans="2:23" ht="18" customHeight="1" x14ac:dyDescent="0.4">
      <c r="B125" s="105"/>
      <c r="C125" s="106"/>
      <c r="D125" s="106"/>
      <c r="E125" s="106"/>
      <c r="F125" s="106"/>
      <c r="G125" s="106"/>
      <c r="H125" s="106"/>
      <c r="I125" s="106"/>
      <c r="J125" s="107"/>
      <c r="K125" s="107"/>
      <c r="L125" s="108"/>
      <c r="M125" s="109"/>
      <c r="N125" s="110"/>
      <c r="O125" s="110"/>
      <c r="P125" s="110"/>
      <c r="Q125" s="110"/>
      <c r="R125" s="110"/>
      <c r="S125" s="110"/>
      <c r="T125" s="110"/>
      <c r="U125" s="111"/>
      <c r="V125" s="107"/>
      <c r="W125" s="108"/>
    </row>
    <row r="126" spans="2:23" ht="18" customHeight="1" x14ac:dyDescent="0.4">
      <c r="B126" s="86"/>
      <c r="C126" s="87"/>
      <c r="D126" s="87"/>
      <c r="E126" s="87"/>
      <c r="F126" s="87"/>
      <c r="G126" s="87"/>
      <c r="H126" s="87"/>
      <c r="I126" s="87"/>
      <c r="J126" s="88" t="s">
        <v>105</v>
      </c>
      <c r="K126" s="87"/>
      <c r="L126" s="89"/>
      <c r="M126" s="90">
        <f>B126</f>
        <v>0</v>
      </c>
      <c r="N126" s="87"/>
      <c r="O126" s="87"/>
      <c r="P126" s="87"/>
      <c r="Q126" s="87"/>
      <c r="R126" s="87"/>
      <c r="S126" s="87"/>
      <c r="T126" s="87"/>
      <c r="U126" s="88" t="s">
        <v>105</v>
      </c>
      <c r="V126" s="87"/>
      <c r="W126" s="89"/>
    </row>
    <row r="127" spans="2:23" ht="18" customHeight="1" x14ac:dyDescent="0.4">
      <c r="B127" s="91"/>
      <c r="C127" s="92"/>
      <c r="D127" s="92"/>
      <c r="E127" s="92"/>
      <c r="F127" s="92"/>
      <c r="G127" s="92"/>
      <c r="H127" s="92"/>
      <c r="I127" s="92"/>
      <c r="J127" s="93"/>
      <c r="K127" s="93"/>
      <c r="L127" s="94"/>
      <c r="M127" s="95"/>
      <c r="N127" s="96"/>
      <c r="O127" s="96"/>
      <c r="P127" s="96"/>
      <c r="Q127" s="96"/>
      <c r="R127" s="96"/>
      <c r="S127" s="96"/>
      <c r="T127" s="96"/>
      <c r="U127" s="97">
        <f t="shared" ref="U127:U136" si="50">J127</f>
        <v>0</v>
      </c>
      <c r="V127" s="93"/>
      <c r="W127" s="94"/>
    </row>
    <row r="128" spans="2:23" ht="18" customHeight="1" x14ac:dyDescent="0.4">
      <c r="B128" s="98"/>
      <c r="C128" s="99"/>
      <c r="D128" s="99"/>
      <c r="E128" s="99"/>
      <c r="F128" s="99"/>
      <c r="G128" s="99"/>
      <c r="H128" s="99"/>
      <c r="I128" s="99"/>
      <c r="J128" s="100"/>
      <c r="K128" s="100"/>
      <c r="L128" s="101"/>
      <c r="M128" s="102"/>
      <c r="N128" s="103"/>
      <c r="O128" s="103"/>
      <c r="P128" s="103"/>
      <c r="Q128" s="103"/>
      <c r="R128" s="103"/>
      <c r="S128" s="103"/>
      <c r="T128" s="103"/>
      <c r="U128" s="104">
        <f t="shared" si="50"/>
        <v>0</v>
      </c>
      <c r="V128" s="100"/>
      <c r="W128" s="101"/>
    </row>
    <row r="129" spans="2:23" ht="18" customHeight="1" x14ac:dyDescent="0.4">
      <c r="B129" s="98"/>
      <c r="C129" s="99"/>
      <c r="D129" s="99"/>
      <c r="E129" s="99"/>
      <c r="F129" s="99"/>
      <c r="G129" s="99"/>
      <c r="H129" s="99"/>
      <c r="I129" s="99"/>
      <c r="J129" s="100"/>
      <c r="K129" s="100"/>
      <c r="L129" s="101"/>
      <c r="M129" s="102"/>
      <c r="N129" s="103"/>
      <c r="O129" s="103"/>
      <c r="P129" s="103"/>
      <c r="Q129" s="103"/>
      <c r="R129" s="103"/>
      <c r="S129" s="103"/>
      <c r="T129" s="103"/>
      <c r="U129" s="104">
        <f t="shared" si="50"/>
        <v>0</v>
      </c>
      <c r="V129" s="100"/>
      <c r="W129" s="101"/>
    </row>
    <row r="130" spans="2:23" ht="18" customHeight="1" x14ac:dyDescent="0.4">
      <c r="B130" s="98"/>
      <c r="C130" s="99"/>
      <c r="D130" s="99"/>
      <c r="E130" s="99"/>
      <c r="F130" s="99"/>
      <c r="G130" s="99"/>
      <c r="H130" s="99"/>
      <c r="I130" s="99"/>
      <c r="J130" s="100"/>
      <c r="K130" s="100"/>
      <c r="L130" s="101"/>
      <c r="M130" s="102"/>
      <c r="N130" s="103"/>
      <c r="O130" s="103"/>
      <c r="P130" s="103"/>
      <c r="Q130" s="103"/>
      <c r="R130" s="103"/>
      <c r="S130" s="103"/>
      <c r="T130" s="103"/>
      <c r="U130" s="104">
        <f t="shared" si="50"/>
        <v>0</v>
      </c>
      <c r="V130" s="100"/>
      <c r="W130" s="101"/>
    </row>
    <row r="131" spans="2:23" ht="18" customHeight="1" x14ac:dyDescent="0.4">
      <c r="B131" s="98"/>
      <c r="C131" s="99"/>
      <c r="D131" s="99"/>
      <c r="E131" s="99"/>
      <c r="F131" s="99"/>
      <c r="G131" s="99"/>
      <c r="H131" s="99"/>
      <c r="I131" s="99"/>
      <c r="J131" s="100"/>
      <c r="K131" s="100"/>
      <c r="L131" s="101"/>
      <c r="M131" s="102"/>
      <c r="N131" s="103"/>
      <c r="O131" s="103"/>
      <c r="P131" s="103"/>
      <c r="Q131" s="103"/>
      <c r="R131" s="103"/>
      <c r="S131" s="103"/>
      <c r="T131" s="103"/>
      <c r="U131" s="104">
        <f t="shared" si="50"/>
        <v>0</v>
      </c>
      <c r="V131" s="100"/>
      <c r="W131" s="101"/>
    </row>
    <row r="132" spans="2:23" ht="18" customHeight="1" x14ac:dyDescent="0.4">
      <c r="B132" s="98"/>
      <c r="C132" s="99"/>
      <c r="D132" s="99"/>
      <c r="E132" s="99"/>
      <c r="F132" s="99"/>
      <c r="G132" s="99"/>
      <c r="H132" s="99"/>
      <c r="I132" s="99"/>
      <c r="J132" s="100"/>
      <c r="K132" s="100"/>
      <c r="L132" s="101"/>
      <c r="M132" s="102"/>
      <c r="N132" s="103"/>
      <c r="O132" s="103"/>
      <c r="P132" s="103"/>
      <c r="Q132" s="103"/>
      <c r="R132" s="103"/>
      <c r="S132" s="103"/>
      <c r="T132" s="103"/>
      <c r="U132" s="104">
        <f t="shared" si="50"/>
        <v>0</v>
      </c>
      <c r="V132" s="100"/>
      <c r="W132" s="101"/>
    </row>
    <row r="133" spans="2:23" ht="18" customHeight="1" x14ac:dyDescent="0.4">
      <c r="B133" s="98"/>
      <c r="C133" s="99"/>
      <c r="D133" s="99"/>
      <c r="E133" s="99"/>
      <c r="F133" s="99"/>
      <c r="G133" s="99"/>
      <c r="H133" s="99"/>
      <c r="I133" s="99"/>
      <c r="J133" s="100"/>
      <c r="K133" s="100"/>
      <c r="L133" s="101"/>
      <c r="M133" s="102"/>
      <c r="N133" s="103"/>
      <c r="O133" s="103"/>
      <c r="P133" s="103"/>
      <c r="Q133" s="103"/>
      <c r="R133" s="103"/>
      <c r="S133" s="103"/>
      <c r="T133" s="103"/>
      <c r="U133" s="104">
        <f t="shared" si="50"/>
        <v>0</v>
      </c>
      <c r="V133" s="100"/>
      <c r="W133" s="101"/>
    </row>
    <row r="134" spans="2:23" ht="18" customHeight="1" x14ac:dyDescent="0.4">
      <c r="B134" s="98"/>
      <c r="C134" s="99"/>
      <c r="D134" s="99"/>
      <c r="E134" s="99"/>
      <c r="F134" s="99"/>
      <c r="G134" s="99"/>
      <c r="H134" s="99"/>
      <c r="I134" s="99"/>
      <c r="J134" s="100"/>
      <c r="K134" s="100"/>
      <c r="L134" s="101"/>
      <c r="M134" s="102"/>
      <c r="N134" s="103"/>
      <c r="O134" s="103"/>
      <c r="P134" s="103"/>
      <c r="Q134" s="103"/>
      <c r="R134" s="103"/>
      <c r="S134" s="103"/>
      <c r="T134" s="103"/>
      <c r="U134" s="104">
        <f t="shared" si="50"/>
        <v>0</v>
      </c>
      <c r="V134" s="100"/>
      <c r="W134" s="101"/>
    </row>
    <row r="135" spans="2:23" ht="18" customHeight="1" x14ac:dyDescent="0.4">
      <c r="B135" s="98"/>
      <c r="C135" s="99"/>
      <c r="D135" s="99"/>
      <c r="E135" s="99"/>
      <c r="F135" s="99"/>
      <c r="G135" s="99"/>
      <c r="H135" s="99"/>
      <c r="I135" s="99"/>
      <c r="J135" s="100"/>
      <c r="K135" s="100"/>
      <c r="L135" s="101"/>
      <c r="M135" s="102"/>
      <c r="N135" s="103"/>
      <c r="O135" s="103"/>
      <c r="P135" s="103"/>
      <c r="Q135" s="103"/>
      <c r="R135" s="103"/>
      <c r="S135" s="103"/>
      <c r="T135" s="103"/>
      <c r="U135" s="104">
        <f t="shared" si="50"/>
        <v>0</v>
      </c>
      <c r="V135" s="100"/>
      <c r="W135" s="101"/>
    </row>
    <row r="136" spans="2:23" ht="18" customHeight="1" x14ac:dyDescent="0.4">
      <c r="B136" s="105"/>
      <c r="C136" s="106"/>
      <c r="D136" s="106"/>
      <c r="E136" s="106"/>
      <c r="F136" s="106"/>
      <c r="G136" s="106"/>
      <c r="H136" s="106"/>
      <c r="I136" s="106"/>
      <c r="J136" s="107"/>
      <c r="K136" s="107"/>
      <c r="L136" s="108"/>
      <c r="M136" s="109"/>
      <c r="N136" s="110"/>
      <c r="O136" s="110"/>
      <c r="P136" s="110"/>
      <c r="Q136" s="110"/>
      <c r="R136" s="110"/>
      <c r="S136" s="110"/>
      <c r="T136" s="110"/>
      <c r="U136" s="111">
        <f t="shared" si="50"/>
        <v>0</v>
      </c>
      <c r="V136" s="107"/>
      <c r="W136" s="108"/>
    </row>
    <row r="137" spans="2:23" ht="18" customHeight="1" x14ac:dyDescent="0.4">
      <c r="B137" s="86"/>
      <c r="C137" s="87"/>
      <c r="D137" s="87"/>
      <c r="E137" s="87"/>
      <c r="F137" s="87"/>
      <c r="G137" s="87"/>
      <c r="H137" s="87"/>
      <c r="I137" s="87"/>
      <c r="J137" s="88" t="s">
        <v>105</v>
      </c>
      <c r="K137" s="87"/>
      <c r="L137" s="89"/>
      <c r="M137" s="90">
        <f>B137</f>
        <v>0</v>
      </c>
      <c r="N137" s="87"/>
      <c r="O137" s="87"/>
      <c r="P137" s="87"/>
      <c r="Q137" s="87"/>
      <c r="R137" s="87"/>
      <c r="S137" s="87"/>
      <c r="T137" s="87"/>
      <c r="U137" s="88" t="s">
        <v>105</v>
      </c>
      <c r="V137" s="87"/>
      <c r="W137" s="89"/>
    </row>
    <row r="138" spans="2:23" ht="18" customHeight="1" x14ac:dyDescent="0.4">
      <c r="B138" s="91"/>
      <c r="C138" s="92"/>
      <c r="D138" s="92"/>
      <c r="E138" s="92"/>
      <c r="F138" s="92"/>
      <c r="G138" s="92"/>
      <c r="H138" s="92"/>
      <c r="I138" s="92"/>
      <c r="J138" s="93"/>
      <c r="K138" s="93"/>
      <c r="L138" s="94"/>
      <c r="M138" s="95"/>
      <c r="N138" s="96"/>
      <c r="O138" s="96"/>
      <c r="P138" s="96"/>
      <c r="Q138" s="96"/>
      <c r="R138" s="96"/>
      <c r="S138" s="96"/>
      <c r="T138" s="96"/>
      <c r="U138" s="97">
        <f t="shared" ref="U138:U147" si="51">J138</f>
        <v>0</v>
      </c>
      <c r="V138" s="93"/>
      <c r="W138" s="94"/>
    </row>
    <row r="139" spans="2:23" ht="18" customHeight="1" x14ac:dyDescent="0.4">
      <c r="B139" s="98"/>
      <c r="C139" s="99"/>
      <c r="D139" s="99"/>
      <c r="E139" s="99"/>
      <c r="F139" s="99"/>
      <c r="G139" s="99"/>
      <c r="H139" s="99"/>
      <c r="I139" s="99"/>
      <c r="J139" s="100"/>
      <c r="K139" s="100"/>
      <c r="L139" s="101"/>
      <c r="M139" s="102"/>
      <c r="N139" s="103"/>
      <c r="O139" s="103"/>
      <c r="P139" s="103"/>
      <c r="Q139" s="103"/>
      <c r="R139" s="103"/>
      <c r="S139" s="103"/>
      <c r="T139" s="103"/>
      <c r="U139" s="104">
        <f t="shared" si="51"/>
        <v>0</v>
      </c>
      <c r="V139" s="100"/>
      <c r="W139" s="101"/>
    </row>
    <row r="140" spans="2:23" ht="18" customHeight="1" x14ac:dyDescent="0.4">
      <c r="B140" s="98"/>
      <c r="C140" s="99"/>
      <c r="D140" s="99"/>
      <c r="E140" s="99"/>
      <c r="F140" s="99"/>
      <c r="G140" s="99"/>
      <c r="H140" s="99"/>
      <c r="I140" s="99"/>
      <c r="J140" s="100"/>
      <c r="K140" s="100"/>
      <c r="L140" s="101"/>
      <c r="M140" s="102"/>
      <c r="N140" s="103"/>
      <c r="O140" s="103"/>
      <c r="P140" s="103"/>
      <c r="Q140" s="103"/>
      <c r="R140" s="103"/>
      <c r="S140" s="103"/>
      <c r="T140" s="103"/>
      <c r="U140" s="104">
        <f t="shared" si="51"/>
        <v>0</v>
      </c>
      <c r="V140" s="100"/>
      <c r="W140" s="101"/>
    </row>
    <row r="141" spans="2:23" ht="18" customHeight="1" x14ac:dyDescent="0.4">
      <c r="B141" s="98"/>
      <c r="C141" s="99"/>
      <c r="D141" s="99"/>
      <c r="E141" s="99"/>
      <c r="F141" s="99"/>
      <c r="G141" s="99"/>
      <c r="H141" s="99"/>
      <c r="I141" s="99"/>
      <c r="J141" s="100"/>
      <c r="K141" s="100"/>
      <c r="L141" s="101"/>
      <c r="M141" s="102"/>
      <c r="N141" s="103"/>
      <c r="O141" s="103"/>
      <c r="P141" s="103"/>
      <c r="Q141" s="103"/>
      <c r="R141" s="103"/>
      <c r="S141" s="103"/>
      <c r="T141" s="103"/>
      <c r="U141" s="104">
        <f t="shared" si="51"/>
        <v>0</v>
      </c>
      <c r="V141" s="100"/>
      <c r="W141" s="101"/>
    </row>
    <row r="142" spans="2:23" ht="18" customHeight="1" x14ac:dyDescent="0.4">
      <c r="B142" s="98"/>
      <c r="C142" s="99"/>
      <c r="D142" s="99"/>
      <c r="E142" s="99"/>
      <c r="F142" s="99"/>
      <c r="G142" s="99"/>
      <c r="H142" s="99"/>
      <c r="I142" s="99"/>
      <c r="J142" s="100"/>
      <c r="K142" s="100"/>
      <c r="L142" s="101"/>
      <c r="M142" s="102"/>
      <c r="N142" s="103"/>
      <c r="O142" s="103"/>
      <c r="P142" s="103"/>
      <c r="Q142" s="103"/>
      <c r="R142" s="103"/>
      <c r="S142" s="103"/>
      <c r="T142" s="103"/>
      <c r="U142" s="104">
        <f t="shared" si="51"/>
        <v>0</v>
      </c>
      <c r="V142" s="100"/>
      <c r="W142" s="101"/>
    </row>
    <row r="143" spans="2:23" ht="18" customHeight="1" x14ac:dyDescent="0.4">
      <c r="B143" s="98"/>
      <c r="C143" s="99"/>
      <c r="D143" s="99"/>
      <c r="E143" s="99"/>
      <c r="F143" s="99"/>
      <c r="G143" s="99"/>
      <c r="H143" s="99"/>
      <c r="I143" s="99"/>
      <c r="J143" s="100"/>
      <c r="K143" s="100"/>
      <c r="L143" s="101"/>
      <c r="M143" s="102"/>
      <c r="N143" s="103"/>
      <c r="O143" s="103"/>
      <c r="P143" s="103"/>
      <c r="Q143" s="103"/>
      <c r="R143" s="103"/>
      <c r="S143" s="103"/>
      <c r="T143" s="103"/>
      <c r="U143" s="104">
        <f t="shared" si="51"/>
        <v>0</v>
      </c>
      <c r="V143" s="100"/>
      <c r="W143" s="101"/>
    </row>
    <row r="144" spans="2:23" ht="18" customHeight="1" x14ac:dyDescent="0.4">
      <c r="B144" s="98"/>
      <c r="C144" s="99"/>
      <c r="D144" s="99"/>
      <c r="E144" s="99"/>
      <c r="F144" s="99"/>
      <c r="G144" s="99"/>
      <c r="H144" s="99"/>
      <c r="I144" s="99"/>
      <c r="J144" s="100"/>
      <c r="K144" s="100"/>
      <c r="L144" s="101"/>
      <c r="M144" s="102"/>
      <c r="N144" s="103"/>
      <c r="O144" s="103"/>
      <c r="P144" s="103"/>
      <c r="Q144" s="103"/>
      <c r="R144" s="103"/>
      <c r="S144" s="103"/>
      <c r="T144" s="103"/>
      <c r="U144" s="104">
        <f t="shared" si="51"/>
        <v>0</v>
      </c>
      <c r="V144" s="100"/>
      <c r="W144" s="101"/>
    </row>
    <row r="145" spans="2:23" ht="18" customHeight="1" x14ac:dyDescent="0.4">
      <c r="B145" s="98"/>
      <c r="C145" s="99"/>
      <c r="D145" s="99"/>
      <c r="E145" s="99"/>
      <c r="F145" s="99"/>
      <c r="G145" s="99"/>
      <c r="H145" s="99"/>
      <c r="I145" s="99"/>
      <c r="J145" s="100"/>
      <c r="K145" s="100"/>
      <c r="L145" s="101"/>
      <c r="M145" s="102"/>
      <c r="N145" s="103"/>
      <c r="O145" s="103"/>
      <c r="P145" s="103"/>
      <c r="Q145" s="103"/>
      <c r="R145" s="103"/>
      <c r="S145" s="103"/>
      <c r="T145" s="103"/>
      <c r="U145" s="104">
        <f t="shared" si="51"/>
        <v>0</v>
      </c>
      <c r="V145" s="100"/>
      <c r="W145" s="101"/>
    </row>
    <row r="146" spans="2:23" ht="18" customHeight="1" x14ac:dyDescent="0.4">
      <c r="B146" s="98"/>
      <c r="C146" s="99"/>
      <c r="D146" s="99"/>
      <c r="E146" s="99"/>
      <c r="F146" s="99"/>
      <c r="G146" s="99"/>
      <c r="H146" s="99"/>
      <c r="I146" s="99"/>
      <c r="J146" s="100"/>
      <c r="K146" s="100"/>
      <c r="L146" s="101"/>
      <c r="M146" s="102"/>
      <c r="N146" s="103"/>
      <c r="O146" s="103"/>
      <c r="P146" s="103"/>
      <c r="Q146" s="103"/>
      <c r="R146" s="103"/>
      <c r="S146" s="103"/>
      <c r="T146" s="103"/>
      <c r="U146" s="104">
        <f t="shared" si="51"/>
        <v>0</v>
      </c>
      <c r="V146" s="100"/>
      <c r="W146" s="101"/>
    </row>
    <row r="147" spans="2:23" ht="18" customHeight="1" x14ac:dyDescent="0.4">
      <c r="B147" s="105"/>
      <c r="C147" s="106"/>
      <c r="D147" s="106"/>
      <c r="E147" s="106"/>
      <c r="F147" s="106"/>
      <c r="G147" s="106"/>
      <c r="H147" s="106"/>
      <c r="I147" s="106"/>
      <c r="J147" s="107"/>
      <c r="K147" s="107"/>
      <c r="L147" s="108"/>
      <c r="M147" s="109"/>
      <c r="N147" s="110"/>
      <c r="O147" s="110"/>
      <c r="P147" s="110"/>
      <c r="Q147" s="110"/>
      <c r="R147" s="110"/>
      <c r="S147" s="110"/>
      <c r="T147" s="110"/>
      <c r="U147" s="111">
        <f t="shared" si="51"/>
        <v>0</v>
      </c>
      <c r="V147" s="107"/>
      <c r="W147" s="108"/>
    </row>
    <row r="148" spans="2:23" ht="18" customHeight="1" x14ac:dyDescent="0.4">
      <c r="B148" s="86"/>
      <c r="C148" s="87"/>
      <c r="D148" s="87"/>
      <c r="E148" s="87"/>
      <c r="F148" s="87"/>
      <c r="G148" s="87"/>
      <c r="H148" s="87"/>
      <c r="I148" s="87"/>
      <c r="J148" s="88" t="s">
        <v>105</v>
      </c>
      <c r="K148" s="87"/>
      <c r="L148" s="89"/>
      <c r="M148" s="90">
        <f>B148</f>
        <v>0</v>
      </c>
      <c r="N148" s="87"/>
      <c r="O148" s="87"/>
      <c r="P148" s="87"/>
      <c r="Q148" s="87"/>
      <c r="R148" s="87"/>
      <c r="S148" s="87"/>
      <c r="T148" s="87"/>
      <c r="U148" s="88" t="s">
        <v>105</v>
      </c>
      <c r="V148" s="87"/>
      <c r="W148" s="89"/>
    </row>
    <row r="149" spans="2:23" ht="18" customHeight="1" x14ac:dyDescent="0.4">
      <c r="B149" s="91"/>
      <c r="C149" s="92"/>
      <c r="D149" s="92"/>
      <c r="E149" s="92"/>
      <c r="F149" s="92"/>
      <c r="G149" s="92"/>
      <c r="H149" s="92"/>
      <c r="I149" s="92"/>
      <c r="J149" s="93"/>
      <c r="K149" s="93"/>
      <c r="L149" s="94"/>
      <c r="M149" s="95"/>
      <c r="N149" s="96"/>
      <c r="O149" s="96"/>
      <c r="P149" s="96"/>
      <c r="Q149" s="96"/>
      <c r="R149" s="96"/>
      <c r="S149" s="96"/>
      <c r="T149" s="96"/>
      <c r="U149" s="97">
        <f t="shared" ref="U149:U158" si="52">J149</f>
        <v>0</v>
      </c>
      <c r="V149" s="93"/>
      <c r="W149" s="94"/>
    </row>
    <row r="150" spans="2:23" ht="18" customHeight="1" x14ac:dyDescent="0.4">
      <c r="B150" s="98"/>
      <c r="C150" s="99"/>
      <c r="D150" s="99"/>
      <c r="E150" s="99"/>
      <c r="F150" s="99"/>
      <c r="G150" s="99"/>
      <c r="H150" s="99"/>
      <c r="I150" s="99"/>
      <c r="J150" s="100"/>
      <c r="K150" s="100"/>
      <c r="L150" s="101"/>
      <c r="M150" s="102"/>
      <c r="N150" s="103"/>
      <c r="O150" s="103"/>
      <c r="P150" s="103"/>
      <c r="Q150" s="103"/>
      <c r="R150" s="103"/>
      <c r="S150" s="103"/>
      <c r="T150" s="103"/>
      <c r="U150" s="104">
        <f t="shared" si="52"/>
        <v>0</v>
      </c>
      <c r="V150" s="100"/>
      <c r="W150" s="101"/>
    </row>
    <row r="151" spans="2:23" ht="18" customHeight="1" x14ac:dyDescent="0.4">
      <c r="B151" s="98"/>
      <c r="C151" s="99"/>
      <c r="D151" s="99"/>
      <c r="E151" s="99"/>
      <c r="F151" s="99"/>
      <c r="G151" s="99"/>
      <c r="H151" s="99"/>
      <c r="I151" s="99"/>
      <c r="J151" s="100"/>
      <c r="K151" s="100"/>
      <c r="L151" s="101"/>
      <c r="M151" s="102"/>
      <c r="N151" s="103"/>
      <c r="O151" s="103"/>
      <c r="P151" s="103"/>
      <c r="Q151" s="103"/>
      <c r="R151" s="103"/>
      <c r="S151" s="103"/>
      <c r="T151" s="103"/>
      <c r="U151" s="104">
        <f t="shared" si="52"/>
        <v>0</v>
      </c>
      <c r="V151" s="100"/>
      <c r="W151" s="101"/>
    </row>
    <row r="152" spans="2:23" ht="18" customHeight="1" x14ac:dyDescent="0.4">
      <c r="B152" s="98"/>
      <c r="C152" s="99"/>
      <c r="D152" s="99"/>
      <c r="E152" s="99"/>
      <c r="F152" s="99"/>
      <c r="G152" s="99"/>
      <c r="H152" s="99"/>
      <c r="I152" s="99"/>
      <c r="J152" s="100"/>
      <c r="K152" s="100"/>
      <c r="L152" s="101"/>
      <c r="M152" s="102"/>
      <c r="N152" s="103"/>
      <c r="O152" s="103"/>
      <c r="P152" s="103"/>
      <c r="Q152" s="103"/>
      <c r="R152" s="103"/>
      <c r="S152" s="103"/>
      <c r="T152" s="103"/>
      <c r="U152" s="104">
        <f t="shared" si="52"/>
        <v>0</v>
      </c>
      <c r="V152" s="100"/>
      <c r="W152" s="101"/>
    </row>
    <row r="153" spans="2:23" ht="18" customHeight="1" x14ac:dyDescent="0.4">
      <c r="B153" s="98"/>
      <c r="C153" s="99"/>
      <c r="D153" s="99"/>
      <c r="E153" s="99"/>
      <c r="F153" s="99"/>
      <c r="G153" s="99"/>
      <c r="H153" s="99"/>
      <c r="I153" s="99"/>
      <c r="J153" s="100"/>
      <c r="K153" s="100"/>
      <c r="L153" s="101"/>
      <c r="M153" s="102"/>
      <c r="N153" s="103"/>
      <c r="O153" s="103"/>
      <c r="P153" s="103"/>
      <c r="Q153" s="103"/>
      <c r="R153" s="103"/>
      <c r="S153" s="103"/>
      <c r="T153" s="103"/>
      <c r="U153" s="104">
        <f t="shared" si="52"/>
        <v>0</v>
      </c>
      <c r="V153" s="100"/>
      <c r="W153" s="101"/>
    </row>
    <row r="154" spans="2:23" ht="18" customHeight="1" x14ac:dyDescent="0.4">
      <c r="B154" s="98"/>
      <c r="C154" s="99"/>
      <c r="D154" s="99"/>
      <c r="E154" s="99"/>
      <c r="F154" s="99"/>
      <c r="G154" s="99"/>
      <c r="H154" s="99"/>
      <c r="I154" s="99"/>
      <c r="J154" s="100"/>
      <c r="K154" s="100"/>
      <c r="L154" s="101"/>
      <c r="M154" s="102"/>
      <c r="N154" s="103"/>
      <c r="O154" s="103"/>
      <c r="P154" s="103"/>
      <c r="Q154" s="103"/>
      <c r="R154" s="103"/>
      <c r="S154" s="103"/>
      <c r="T154" s="103"/>
      <c r="U154" s="104">
        <f t="shared" si="52"/>
        <v>0</v>
      </c>
      <c r="V154" s="100"/>
      <c r="W154" s="101"/>
    </row>
    <row r="155" spans="2:23" ht="18" customHeight="1" x14ac:dyDescent="0.4">
      <c r="B155" s="98"/>
      <c r="C155" s="99"/>
      <c r="D155" s="99"/>
      <c r="E155" s="99"/>
      <c r="F155" s="99"/>
      <c r="G155" s="99"/>
      <c r="H155" s="99"/>
      <c r="I155" s="99"/>
      <c r="J155" s="100"/>
      <c r="K155" s="100"/>
      <c r="L155" s="101"/>
      <c r="M155" s="102"/>
      <c r="N155" s="103"/>
      <c r="O155" s="103"/>
      <c r="P155" s="103"/>
      <c r="Q155" s="103"/>
      <c r="R155" s="103"/>
      <c r="S155" s="103"/>
      <c r="T155" s="103"/>
      <c r="U155" s="104">
        <f t="shared" si="52"/>
        <v>0</v>
      </c>
      <c r="V155" s="100"/>
      <c r="W155" s="101"/>
    </row>
    <row r="156" spans="2:23" ht="18" customHeight="1" x14ac:dyDescent="0.4">
      <c r="B156" s="98"/>
      <c r="C156" s="99"/>
      <c r="D156" s="99"/>
      <c r="E156" s="99"/>
      <c r="F156" s="99"/>
      <c r="G156" s="99"/>
      <c r="H156" s="99"/>
      <c r="I156" s="99"/>
      <c r="J156" s="100"/>
      <c r="K156" s="100"/>
      <c r="L156" s="101"/>
      <c r="M156" s="102"/>
      <c r="N156" s="103"/>
      <c r="O156" s="103"/>
      <c r="P156" s="103"/>
      <c r="Q156" s="103"/>
      <c r="R156" s="103"/>
      <c r="S156" s="103"/>
      <c r="T156" s="103"/>
      <c r="U156" s="104">
        <f t="shared" si="52"/>
        <v>0</v>
      </c>
      <c r="V156" s="100"/>
      <c r="W156" s="101"/>
    </row>
    <row r="157" spans="2:23" ht="18" customHeight="1" x14ac:dyDescent="0.4">
      <c r="B157" s="98"/>
      <c r="C157" s="99"/>
      <c r="D157" s="99"/>
      <c r="E157" s="99"/>
      <c r="F157" s="99"/>
      <c r="G157" s="99"/>
      <c r="H157" s="99"/>
      <c r="I157" s="99"/>
      <c r="J157" s="100"/>
      <c r="K157" s="100"/>
      <c r="L157" s="101"/>
      <c r="M157" s="102"/>
      <c r="N157" s="103"/>
      <c r="O157" s="103"/>
      <c r="P157" s="103"/>
      <c r="Q157" s="103"/>
      <c r="R157" s="103"/>
      <c r="S157" s="103"/>
      <c r="T157" s="103"/>
      <c r="U157" s="104">
        <f t="shared" si="52"/>
        <v>0</v>
      </c>
      <c r="V157" s="100"/>
      <c r="W157" s="101"/>
    </row>
    <row r="158" spans="2:23" ht="18" customHeight="1" x14ac:dyDescent="0.4">
      <c r="B158" s="105"/>
      <c r="C158" s="106"/>
      <c r="D158" s="106"/>
      <c r="E158" s="106"/>
      <c r="F158" s="106"/>
      <c r="G158" s="106"/>
      <c r="H158" s="106"/>
      <c r="I158" s="106"/>
      <c r="J158" s="107"/>
      <c r="K158" s="107"/>
      <c r="L158" s="108"/>
      <c r="M158" s="109"/>
      <c r="N158" s="110"/>
      <c r="O158" s="110"/>
      <c r="P158" s="110"/>
      <c r="Q158" s="110"/>
      <c r="R158" s="110"/>
      <c r="S158" s="110"/>
      <c r="T158" s="110"/>
      <c r="U158" s="111">
        <f t="shared" si="52"/>
        <v>0</v>
      </c>
      <c r="V158" s="107"/>
      <c r="W158" s="108"/>
    </row>
    <row r="159" spans="2:23" ht="18" customHeight="1" x14ac:dyDescent="0.4">
      <c r="B159" s="86"/>
      <c r="C159" s="87"/>
      <c r="D159" s="87"/>
      <c r="E159" s="87"/>
      <c r="F159" s="87"/>
      <c r="G159" s="87"/>
      <c r="H159" s="87"/>
      <c r="I159" s="87"/>
      <c r="J159" s="88" t="s">
        <v>105</v>
      </c>
      <c r="K159" s="87"/>
      <c r="L159" s="89"/>
      <c r="M159" s="90">
        <f>B159</f>
        <v>0</v>
      </c>
      <c r="N159" s="87"/>
      <c r="O159" s="87"/>
      <c r="P159" s="87"/>
      <c r="Q159" s="87"/>
      <c r="R159" s="87"/>
      <c r="S159" s="87"/>
      <c r="T159" s="87"/>
      <c r="U159" s="88" t="s">
        <v>105</v>
      </c>
      <c r="V159" s="87"/>
      <c r="W159" s="89"/>
    </row>
    <row r="160" spans="2:23" ht="18" customHeight="1" x14ac:dyDescent="0.4">
      <c r="B160" s="95"/>
      <c r="C160" s="96"/>
      <c r="D160" s="96"/>
      <c r="E160" s="96"/>
      <c r="F160" s="96"/>
      <c r="G160" s="96"/>
      <c r="H160" s="96"/>
      <c r="I160" s="96"/>
      <c r="J160" s="93"/>
      <c r="K160" s="93"/>
      <c r="L160" s="94"/>
      <c r="M160" s="95"/>
      <c r="N160" s="96"/>
      <c r="O160" s="96"/>
      <c r="P160" s="96"/>
      <c r="Q160" s="96"/>
      <c r="R160" s="96"/>
      <c r="S160" s="96"/>
      <c r="T160" s="96"/>
      <c r="U160" s="97">
        <f t="shared" ref="U160:U169" si="53">J160</f>
        <v>0</v>
      </c>
      <c r="V160" s="93"/>
      <c r="W160" s="94"/>
    </row>
    <row r="161" spans="2:23" ht="18" customHeight="1" x14ac:dyDescent="0.4">
      <c r="B161" s="102"/>
      <c r="C161" s="103"/>
      <c r="D161" s="103"/>
      <c r="E161" s="103"/>
      <c r="F161" s="103"/>
      <c r="G161" s="103"/>
      <c r="H161" s="103"/>
      <c r="I161" s="103"/>
      <c r="J161" s="100"/>
      <c r="K161" s="100"/>
      <c r="L161" s="101"/>
      <c r="M161" s="102"/>
      <c r="N161" s="103"/>
      <c r="O161" s="103"/>
      <c r="P161" s="103"/>
      <c r="Q161" s="103"/>
      <c r="R161" s="103"/>
      <c r="S161" s="103"/>
      <c r="T161" s="103"/>
      <c r="U161" s="104">
        <f t="shared" si="53"/>
        <v>0</v>
      </c>
      <c r="V161" s="100"/>
      <c r="W161" s="101"/>
    </row>
    <row r="162" spans="2:23" ht="18" customHeight="1" x14ac:dyDescent="0.4">
      <c r="B162" s="102"/>
      <c r="C162" s="103"/>
      <c r="D162" s="103"/>
      <c r="E162" s="103"/>
      <c r="F162" s="103"/>
      <c r="G162" s="103"/>
      <c r="H162" s="103"/>
      <c r="I162" s="103"/>
      <c r="J162" s="100"/>
      <c r="K162" s="100"/>
      <c r="L162" s="101"/>
      <c r="M162" s="102"/>
      <c r="N162" s="103"/>
      <c r="O162" s="103"/>
      <c r="P162" s="103"/>
      <c r="Q162" s="103"/>
      <c r="R162" s="103"/>
      <c r="S162" s="103"/>
      <c r="T162" s="103"/>
      <c r="U162" s="104">
        <f t="shared" si="53"/>
        <v>0</v>
      </c>
      <c r="V162" s="100"/>
      <c r="W162" s="101"/>
    </row>
    <row r="163" spans="2:23" ht="18" customHeight="1" x14ac:dyDescent="0.4">
      <c r="B163" s="102"/>
      <c r="C163" s="103"/>
      <c r="D163" s="103"/>
      <c r="E163" s="103"/>
      <c r="F163" s="103"/>
      <c r="G163" s="103"/>
      <c r="H163" s="103"/>
      <c r="I163" s="103"/>
      <c r="J163" s="100"/>
      <c r="K163" s="100"/>
      <c r="L163" s="101"/>
      <c r="M163" s="102"/>
      <c r="N163" s="103"/>
      <c r="O163" s="103"/>
      <c r="P163" s="103"/>
      <c r="Q163" s="103"/>
      <c r="R163" s="103"/>
      <c r="S163" s="103"/>
      <c r="T163" s="103"/>
      <c r="U163" s="104">
        <f t="shared" si="53"/>
        <v>0</v>
      </c>
      <c r="V163" s="100"/>
      <c r="W163" s="101"/>
    </row>
    <row r="164" spans="2:23" ht="18" customHeight="1" x14ac:dyDescent="0.4">
      <c r="B164" s="102"/>
      <c r="C164" s="103"/>
      <c r="D164" s="103"/>
      <c r="E164" s="103"/>
      <c r="F164" s="103"/>
      <c r="G164" s="103"/>
      <c r="H164" s="103"/>
      <c r="I164" s="103"/>
      <c r="J164" s="100"/>
      <c r="K164" s="100"/>
      <c r="L164" s="101"/>
      <c r="M164" s="102"/>
      <c r="N164" s="103"/>
      <c r="O164" s="103"/>
      <c r="P164" s="103"/>
      <c r="Q164" s="103"/>
      <c r="R164" s="103"/>
      <c r="S164" s="103"/>
      <c r="T164" s="103"/>
      <c r="U164" s="104">
        <f t="shared" si="53"/>
        <v>0</v>
      </c>
      <c r="V164" s="100"/>
      <c r="W164" s="101"/>
    </row>
    <row r="165" spans="2:23" ht="18" customHeight="1" x14ac:dyDescent="0.4">
      <c r="B165" s="102"/>
      <c r="C165" s="103"/>
      <c r="D165" s="103"/>
      <c r="E165" s="103"/>
      <c r="F165" s="103"/>
      <c r="G165" s="103"/>
      <c r="H165" s="103"/>
      <c r="I165" s="103"/>
      <c r="J165" s="100"/>
      <c r="K165" s="100"/>
      <c r="L165" s="101"/>
      <c r="M165" s="102"/>
      <c r="N165" s="103"/>
      <c r="O165" s="103"/>
      <c r="P165" s="103"/>
      <c r="Q165" s="103"/>
      <c r="R165" s="103"/>
      <c r="S165" s="103"/>
      <c r="T165" s="103"/>
      <c r="U165" s="104">
        <f t="shared" si="53"/>
        <v>0</v>
      </c>
      <c r="V165" s="100"/>
      <c r="W165" s="101"/>
    </row>
    <row r="166" spans="2:23" ht="18" customHeight="1" x14ac:dyDescent="0.4">
      <c r="B166" s="102"/>
      <c r="C166" s="103"/>
      <c r="D166" s="103"/>
      <c r="E166" s="103"/>
      <c r="F166" s="103"/>
      <c r="G166" s="103"/>
      <c r="H166" s="103"/>
      <c r="I166" s="103"/>
      <c r="J166" s="100"/>
      <c r="K166" s="100"/>
      <c r="L166" s="101"/>
      <c r="M166" s="102"/>
      <c r="N166" s="103"/>
      <c r="O166" s="103"/>
      <c r="P166" s="103"/>
      <c r="Q166" s="103"/>
      <c r="R166" s="103"/>
      <c r="S166" s="103"/>
      <c r="T166" s="103"/>
      <c r="U166" s="104">
        <f t="shared" si="53"/>
        <v>0</v>
      </c>
      <c r="V166" s="100"/>
      <c r="W166" s="101"/>
    </row>
    <row r="167" spans="2:23" ht="18" customHeight="1" x14ac:dyDescent="0.4">
      <c r="B167" s="102"/>
      <c r="C167" s="103"/>
      <c r="D167" s="103"/>
      <c r="E167" s="103"/>
      <c r="F167" s="103"/>
      <c r="G167" s="103"/>
      <c r="H167" s="103"/>
      <c r="I167" s="103"/>
      <c r="J167" s="100"/>
      <c r="K167" s="100"/>
      <c r="L167" s="101"/>
      <c r="M167" s="102"/>
      <c r="N167" s="103"/>
      <c r="O167" s="103"/>
      <c r="P167" s="103"/>
      <c r="Q167" s="103"/>
      <c r="R167" s="103"/>
      <c r="S167" s="103"/>
      <c r="T167" s="103"/>
      <c r="U167" s="104">
        <f t="shared" si="53"/>
        <v>0</v>
      </c>
      <c r="V167" s="100"/>
      <c r="W167" s="101"/>
    </row>
    <row r="168" spans="2:23" ht="18" customHeight="1" x14ac:dyDescent="0.4">
      <c r="B168" s="102"/>
      <c r="C168" s="103"/>
      <c r="D168" s="103"/>
      <c r="E168" s="103"/>
      <c r="F168" s="103"/>
      <c r="G168" s="103"/>
      <c r="H168" s="103"/>
      <c r="I168" s="103"/>
      <c r="J168" s="100"/>
      <c r="K168" s="100"/>
      <c r="L168" s="101"/>
      <c r="M168" s="102"/>
      <c r="N168" s="103"/>
      <c r="O168" s="103"/>
      <c r="P168" s="103"/>
      <c r="Q168" s="103"/>
      <c r="R168" s="103"/>
      <c r="S168" s="103"/>
      <c r="T168" s="103"/>
      <c r="U168" s="104">
        <f t="shared" si="53"/>
        <v>0</v>
      </c>
      <c r="V168" s="100"/>
      <c r="W168" s="101"/>
    </row>
    <row r="169" spans="2:23" ht="18" customHeight="1" x14ac:dyDescent="0.4">
      <c r="B169" s="109"/>
      <c r="C169" s="110"/>
      <c r="D169" s="110"/>
      <c r="E169" s="110"/>
      <c r="F169" s="110"/>
      <c r="G169" s="110"/>
      <c r="H169" s="110"/>
      <c r="I169" s="110"/>
      <c r="J169" s="107"/>
      <c r="K169" s="107"/>
      <c r="L169" s="108"/>
      <c r="M169" s="109"/>
      <c r="N169" s="110"/>
      <c r="O169" s="110"/>
      <c r="P169" s="110"/>
      <c r="Q169" s="110"/>
      <c r="R169" s="110"/>
      <c r="S169" s="110"/>
      <c r="T169" s="110"/>
      <c r="U169" s="111">
        <f t="shared" si="53"/>
        <v>0</v>
      </c>
      <c r="V169" s="107"/>
      <c r="W169" s="108"/>
    </row>
    <row r="170" spans="2:23" ht="18" customHeight="1" x14ac:dyDescent="0.4">
      <c r="B170" s="86"/>
      <c r="C170" s="87"/>
      <c r="D170" s="87"/>
      <c r="E170" s="87"/>
      <c r="F170" s="87"/>
      <c r="G170" s="87"/>
      <c r="H170" s="87"/>
      <c r="I170" s="87"/>
      <c r="J170" s="88" t="s">
        <v>105</v>
      </c>
      <c r="K170" s="87"/>
      <c r="L170" s="89"/>
      <c r="M170" s="90">
        <f>B170</f>
        <v>0</v>
      </c>
      <c r="N170" s="87"/>
      <c r="O170" s="87"/>
      <c r="P170" s="87"/>
      <c r="Q170" s="87"/>
      <c r="R170" s="87"/>
      <c r="S170" s="87"/>
      <c r="T170" s="87"/>
      <c r="U170" s="88" t="s">
        <v>105</v>
      </c>
      <c r="V170" s="87"/>
      <c r="W170" s="89"/>
    </row>
    <row r="171" spans="2:23" ht="18" customHeight="1" x14ac:dyDescent="0.4">
      <c r="B171" s="95"/>
      <c r="C171" s="96"/>
      <c r="D171" s="96"/>
      <c r="E171" s="96"/>
      <c r="F171" s="96"/>
      <c r="G171" s="96"/>
      <c r="H171" s="96"/>
      <c r="I171" s="96"/>
      <c r="J171" s="93"/>
      <c r="K171" s="93"/>
      <c r="L171" s="94"/>
      <c r="M171" s="95"/>
      <c r="N171" s="96"/>
      <c r="O171" s="96"/>
      <c r="P171" s="96"/>
      <c r="Q171" s="96"/>
      <c r="R171" s="96"/>
      <c r="S171" s="96"/>
      <c r="T171" s="96"/>
      <c r="U171" s="97">
        <f t="shared" ref="U171:U180" si="54">J171</f>
        <v>0</v>
      </c>
      <c r="V171" s="93"/>
      <c r="W171" s="94"/>
    </row>
    <row r="172" spans="2:23" ht="18" customHeight="1" x14ac:dyDescent="0.4">
      <c r="B172" s="102"/>
      <c r="C172" s="103"/>
      <c r="D172" s="103"/>
      <c r="E172" s="103"/>
      <c r="F172" s="103"/>
      <c r="G172" s="103"/>
      <c r="H172" s="103"/>
      <c r="I172" s="103"/>
      <c r="J172" s="100"/>
      <c r="K172" s="100"/>
      <c r="L172" s="101"/>
      <c r="M172" s="102"/>
      <c r="N172" s="103"/>
      <c r="O172" s="103"/>
      <c r="P172" s="103"/>
      <c r="Q172" s="103"/>
      <c r="R172" s="103"/>
      <c r="S172" s="103"/>
      <c r="T172" s="103"/>
      <c r="U172" s="104">
        <f t="shared" si="54"/>
        <v>0</v>
      </c>
      <c r="V172" s="100"/>
      <c r="W172" s="101"/>
    </row>
    <row r="173" spans="2:23" ht="18" customHeight="1" x14ac:dyDescent="0.4">
      <c r="B173" s="102"/>
      <c r="C173" s="103"/>
      <c r="D173" s="103"/>
      <c r="E173" s="103"/>
      <c r="F173" s="103"/>
      <c r="G173" s="103"/>
      <c r="H173" s="103"/>
      <c r="I173" s="103"/>
      <c r="J173" s="100"/>
      <c r="K173" s="100"/>
      <c r="L173" s="101"/>
      <c r="M173" s="102"/>
      <c r="N173" s="103"/>
      <c r="O173" s="103"/>
      <c r="P173" s="103"/>
      <c r="Q173" s="103"/>
      <c r="R173" s="103"/>
      <c r="S173" s="103"/>
      <c r="T173" s="103"/>
      <c r="U173" s="104">
        <f t="shared" si="54"/>
        <v>0</v>
      </c>
      <c r="V173" s="100"/>
      <c r="W173" s="101"/>
    </row>
    <row r="174" spans="2:23" ht="18" customHeight="1" x14ac:dyDescent="0.4">
      <c r="B174" s="102"/>
      <c r="C174" s="103"/>
      <c r="D174" s="103"/>
      <c r="E174" s="103"/>
      <c r="F174" s="103"/>
      <c r="G174" s="103"/>
      <c r="H174" s="103"/>
      <c r="I174" s="103"/>
      <c r="J174" s="100"/>
      <c r="K174" s="100"/>
      <c r="L174" s="101"/>
      <c r="M174" s="102"/>
      <c r="N174" s="103"/>
      <c r="O174" s="103"/>
      <c r="P174" s="103"/>
      <c r="Q174" s="103"/>
      <c r="R174" s="103"/>
      <c r="S174" s="103"/>
      <c r="T174" s="103"/>
      <c r="U174" s="104">
        <f t="shared" si="54"/>
        <v>0</v>
      </c>
      <c r="V174" s="100"/>
      <c r="W174" s="101"/>
    </row>
    <row r="175" spans="2:23" ht="18" customHeight="1" x14ac:dyDescent="0.4">
      <c r="B175" s="102"/>
      <c r="C175" s="103"/>
      <c r="D175" s="103"/>
      <c r="E175" s="103"/>
      <c r="F175" s="103"/>
      <c r="G175" s="103"/>
      <c r="H175" s="103"/>
      <c r="I175" s="103"/>
      <c r="J175" s="100"/>
      <c r="K175" s="100"/>
      <c r="L175" s="101"/>
      <c r="M175" s="102"/>
      <c r="N175" s="103"/>
      <c r="O175" s="103"/>
      <c r="P175" s="103"/>
      <c r="Q175" s="103"/>
      <c r="R175" s="103"/>
      <c r="S175" s="103"/>
      <c r="T175" s="103"/>
      <c r="U175" s="104">
        <f t="shared" si="54"/>
        <v>0</v>
      </c>
      <c r="V175" s="100"/>
      <c r="W175" s="101"/>
    </row>
    <row r="176" spans="2:23" ht="18" customHeight="1" x14ac:dyDescent="0.4">
      <c r="B176" s="102"/>
      <c r="C176" s="103"/>
      <c r="D176" s="103"/>
      <c r="E176" s="103"/>
      <c r="F176" s="103"/>
      <c r="G176" s="103"/>
      <c r="H176" s="103"/>
      <c r="I176" s="103"/>
      <c r="J176" s="100"/>
      <c r="K176" s="100"/>
      <c r="L176" s="101"/>
      <c r="M176" s="102"/>
      <c r="N176" s="103"/>
      <c r="O176" s="103"/>
      <c r="P176" s="103"/>
      <c r="Q176" s="103"/>
      <c r="R176" s="103"/>
      <c r="S176" s="103"/>
      <c r="T176" s="103"/>
      <c r="U176" s="104">
        <f t="shared" si="54"/>
        <v>0</v>
      </c>
      <c r="V176" s="100"/>
      <c r="W176" s="101"/>
    </row>
    <row r="177" spans="2:23" ht="18" customHeight="1" x14ac:dyDescent="0.4">
      <c r="B177" s="102"/>
      <c r="C177" s="103"/>
      <c r="D177" s="103"/>
      <c r="E177" s="103"/>
      <c r="F177" s="103"/>
      <c r="G177" s="103"/>
      <c r="H177" s="103"/>
      <c r="I177" s="103"/>
      <c r="J177" s="100"/>
      <c r="K177" s="100"/>
      <c r="L177" s="101"/>
      <c r="M177" s="102"/>
      <c r="N177" s="103"/>
      <c r="O177" s="103"/>
      <c r="P177" s="103"/>
      <c r="Q177" s="103"/>
      <c r="R177" s="103"/>
      <c r="S177" s="103"/>
      <c r="T177" s="103"/>
      <c r="U177" s="104">
        <f t="shared" si="54"/>
        <v>0</v>
      </c>
      <c r="V177" s="100"/>
      <c r="W177" s="101"/>
    </row>
    <row r="178" spans="2:23" ht="18" customHeight="1" x14ac:dyDescent="0.4">
      <c r="B178" s="102"/>
      <c r="C178" s="103"/>
      <c r="D178" s="103"/>
      <c r="E178" s="103"/>
      <c r="F178" s="103"/>
      <c r="G178" s="103"/>
      <c r="H178" s="103"/>
      <c r="I178" s="103"/>
      <c r="J178" s="100"/>
      <c r="K178" s="100"/>
      <c r="L178" s="101"/>
      <c r="M178" s="102"/>
      <c r="N178" s="103"/>
      <c r="O178" s="103"/>
      <c r="P178" s="103"/>
      <c r="Q178" s="103"/>
      <c r="R178" s="103"/>
      <c r="S178" s="103"/>
      <c r="T178" s="103"/>
      <c r="U178" s="104">
        <f t="shared" si="54"/>
        <v>0</v>
      </c>
      <c r="V178" s="100"/>
      <c r="W178" s="101"/>
    </row>
    <row r="179" spans="2:23" ht="18" customHeight="1" x14ac:dyDescent="0.4">
      <c r="B179" s="102"/>
      <c r="C179" s="103"/>
      <c r="D179" s="103"/>
      <c r="E179" s="103"/>
      <c r="F179" s="103"/>
      <c r="G179" s="103"/>
      <c r="H179" s="103"/>
      <c r="I179" s="103"/>
      <c r="J179" s="100"/>
      <c r="K179" s="100"/>
      <c r="L179" s="101"/>
      <c r="M179" s="102"/>
      <c r="N179" s="103"/>
      <c r="O179" s="103"/>
      <c r="P179" s="103"/>
      <c r="Q179" s="103"/>
      <c r="R179" s="103"/>
      <c r="S179" s="103"/>
      <c r="T179" s="103"/>
      <c r="U179" s="104">
        <f t="shared" si="54"/>
        <v>0</v>
      </c>
      <c r="V179" s="100"/>
      <c r="W179" s="101"/>
    </row>
    <row r="180" spans="2:23" ht="18" customHeight="1" x14ac:dyDescent="0.4">
      <c r="B180" s="109"/>
      <c r="C180" s="110"/>
      <c r="D180" s="110"/>
      <c r="E180" s="110"/>
      <c r="F180" s="110"/>
      <c r="G180" s="110"/>
      <c r="H180" s="110"/>
      <c r="I180" s="110"/>
      <c r="J180" s="107"/>
      <c r="K180" s="107"/>
      <c r="L180" s="108"/>
      <c r="M180" s="109"/>
      <c r="N180" s="110"/>
      <c r="O180" s="110"/>
      <c r="P180" s="110"/>
      <c r="Q180" s="110"/>
      <c r="R180" s="110"/>
      <c r="S180" s="110"/>
      <c r="T180" s="110"/>
      <c r="U180" s="111">
        <f t="shared" si="54"/>
        <v>0</v>
      </c>
      <c r="V180" s="107"/>
      <c r="W180" s="108"/>
    </row>
    <row r="181" spans="2:23" ht="18" customHeight="1" x14ac:dyDescent="0.4">
      <c r="B181" s="86"/>
      <c r="C181" s="87"/>
      <c r="D181" s="87"/>
      <c r="E181" s="87"/>
      <c r="F181" s="87"/>
      <c r="G181" s="87"/>
      <c r="H181" s="87"/>
      <c r="I181" s="87"/>
      <c r="J181" s="88" t="s">
        <v>105</v>
      </c>
      <c r="K181" s="87"/>
      <c r="L181" s="89"/>
      <c r="M181" s="90">
        <f>B181</f>
        <v>0</v>
      </c>
      <c r="N181" s="87"/>
      <c r="O181" s="87"/>
      <c r="P181" s="87"/>
      <c r="Q181" s="87"/>
      <c r="R181" s="87"/>
      <c r="S181" s="87"/>
      <c r="T181" s="87"/>
      <c r="U181" s="88" t="s">
        <v>105</v>
      </c>
      <c r="V181" s="87"/>
      <c r="W181" s="89"/>
    </row>
    <row r="182" spans="2:23" ht="18" customHeight="1" x14ac:dyDescent="0.4">
      <c r="B182" s="95"/>
      <c r="C182" s="96"/>
      <c r="D182" s="96"/>
      <c r="E182" s="96"/>
      <c r="F182" s="96"/>
      <c r="G182" s="96"/>
      <c r="H182" s="96"/>
      <c r="I182" s="96"/>
      <c r="J182" s="93"/>
      <c r="K182" s="93"/>
      <c r="L182" s="94"/>
      <c r="M182" s="95"/>
      <c r="N182" s="96"/>
      <c r="O182" s="96"/>
      <c r="P182" s="96"/>
      <c r="Q182" s="96"/>
      <c r="R182" s="96"/>
      <c r="S182" s="96"/>
      <c r="T182" s="96"/>
      <c r="U182" s="97">
        <f t="shared" ref="U182:U191" si="55">J182</f>
        <v>0</v>
      </c>
      <c r="V182" s="93"/>
      <c r="W182" s="94"/>
    </row>
    <row r="183" spans="2:23" ht="18" customHeight="1" x14ac:dyDescent="0.4">
      <c r="B183" s="102"/>
      <c r="C183" s="103"/>
      <c r="D183" s="103"/>
      <c r="E183" s="103"/>
      <c r="F183" s="103"/>
      <c r="G183" s="103"/>
      <c r="H183" s="103"/>
      <c r="I183" s="103"/>
      <c r="J183" s="100"/>
      <c r="K183" s="100"/>
      <c r="L183" s="101"/>
      <c r="M183" s="102"/>
      <c r="N183" s="103"/>
      <c r="O183" s="103"/>
      <c r="P183" s="103"/>
      <c r="Q183" s="103"/>
      <c r="R183" s="103"/>
      <c r="S183" s="103"/>
      <c r="T183" s="103"/>
      <c r="U183" s="104">
        <f t="shared" si="55"/>
        <v>0</v>
      </c>
      <c r="V183" s="100"/>
      <c r="W183" s="101"/>
    </row>
    <row r="184" spans="2:23" ht="18" customHeight="1" x14ac:dyDescent="0.4">
      <c r="B184" s="102"/>
      <c r="C184" s="103"/>
      <c r="D184" s="103"/>
      <c r="E184" s="103"/>
      <c r="F184" s="103"/>
      <c r="G184" s="103"/>
      <c r="H184" s="103"/>
      <c r="I184" s="103"/>
      <c r="J184" s="100"/>
      <c r="K184" s="100"/>
      <c r="L184" s="101"/>
      <c r="M184" s="102"/>
      <c r="N184" s="103"/>
      <c r="O184" s="103"/>
      <c r="P184" s="103"/>
      <c r="Q184" s="103"/>
      <c r="R184" s="103"/>
      <c r="S184" s="103"/>
      <c r="T184" s="103"/>
      <c r="U184" s="104">
        <f t="shared" si="55"/>
        <v>0</v>
      </c>
      <c r="V184" s="100"/>
      <c r="W184" s="101"/>
    </row>
    <row r="185" spans="2:23" ht="18" customHeight="1" x14ac:dyDescent="0.4">
      <c r="B185" s="102"/>
      <c r="C185" s="103"/>
      <c r="D185" s="103"/>
      <c r="E185" s="103"/>
      <c r="F185" s="103"/>
      <c r="G185" s="103"/>
      <c r="H185" s="103"/>
      <c r="I185" s="103"/>
      <c r="J185" s="100"/>
      <c r="K185" s="100"/>
      <c r="L185" s="101"/>
      <c r="M185" s="102"/>
      <c r="N185" s="103"/>
      <c r="O185" s="103"/>
      <c r="P185" s="103"/>
      <c r="Q185" s="103"/>
      <c r="R185" s="103"/>
      <c r="S185" s="103"/>
      <c r="T185" s="103"/>
      <c r="U185" s="104">
        <f t="shared" si="55"/>
        <v>0</v>
      </c>
      <c r="V185" s="100"/>
      <c r="W185" s="101"/>
    </row>
    <row r="186" spans="2:23" ht="18" customHeight="1" x14ac:dyDescent="0.4">
      <c r="B186" s="102"/>
      <c r="C186" s="103"/>
      <c r="D186" s="103"/>
      <c r="E186" s="103"/>
      <c r="F186" s="103"/>
      <c r="G186" s="103"/>
      <c r="H186" s="103"/>
      <c r="I186" s="103"/>
      <c r="J186" s="100"/>
      <c r="K186" s="100"/>
      <c r="L186" s="101"/>
      <c r="M186" s="102"/>
      <c r="N186" s="103"/>
      <c r="O186" s="103"/>
      <c r="P186" s="103"/>
      <c r="Q186" s="103"/>
      <c r="R186" s="103"/>
      <c r="S186" s="103"/>
      <c r="T186" s="103"/>
      <c r="U186" s="104">
        <f t="shared" si="55"/>
        <v>0</v>
      </c>
      <c r="V186" s="100"/>
      <c r="W186" s="101"/>
    </row>
    <row r="187" spans="2:23" ht="18" customHeight="1" x14ac:dyDescent="0.4">
      <c r="B187" s="102"/>
      <c r="C187" s="103"/>
      <c r="D187" s="103"/>
      <c r="E187" s="103"/>
      <c r="F187" s="103"/>
      <c r="G187" s="103"/>
      <c r="H187" s="103"/>
      <c r="I187" s="103"/>
      <c r="J187" s="100"/>
      <c r="K187" s="100"/>
      <c r="L187" s="101"/>
      <c r="M187" s="102"/>
      <c r="N187" s="103"/>
      <c r="O187" s="103"/>
      <c r="P187" s="103"/>
      <c r="Q187" s="103"/>
      <c r="R187" s="103"/>
      <c r="S187" s="103"/>
      <c r="T187" s="103"/>
      <c r="U187" s="104">
        <f t="shared" si="55"/>
        <v>0</v>
      </c>
      <c r="V187" s="100"/>
      <c r="W187" s="101"/>
    </row>
    <row r="188" spans="2:23" ht="18" customHeight="1" x14ac:dyDescent="0.4">
      <c r="B188" s="102"/>
      <c r="C188" s="103"/>
      <c r="D188" s="103"/>
      <c r="E188" s="103"/>
      <c r="F188" s="103"/>
      <c r="G188" s="103"/>
      <c r="H188" s="103"/>
      <c r="I188" s="103"/>
      <c r="J188" s="100"/>
      <c r="K188" s="100"/>
      <c r="L188" s="101"/>
      <c r="M188" s="102"/>
      <c r="N188" s="103"/>
      <c r="O188" s="103"/>
      <c r="P188" s="103"/>
      <c r="Q188" s="103"/>
      <c r="R188" s="103"/>
      <c r="S188" s="103"/>
      <c r="T188" s="103"/>
      <c r="U188" s="104">
        <f t="shared" si="55"/>
        <v>0</v>
      </c>
      <c r="V188" s="100"/>
      <c r="W188" s="101"/>
    </row>
    <row r="189" spans="2:23" ht="18" customHeight="1" x14ac:dyDescent="0.4">
      <c r="B189" s="102"/>
      <c r="C189" s="103"/>
      <c r="D189" s="103"/>
      <c r="E189" s="103"/>
      <c r="F189" s="103"/>
      <c r="G189" s="103"/>
      <c r="H189" s="103"/>
      <c r="I189" s="103"/>
      <c r="J189" s="100"/>
      <c r="K189" s="100"/>
      <c r="L189" s="101"/>
      <c r="M189" s="102"/>
      <c r="N189" s="103"/>
      <c r="O189" s="103"/>
      <c r="P189" s="103"/>
      <c r="Q189" s="103"/>
      <c r="R189" s="103"/>
      <c r="S189" s="103"/>
      <c r="T189" s="103"/>
      <c r="U189" s="104">
        <f t="shared" si="55"/>
        <v>0</v>
      </c>
      <c r="V189" s="100"/>
      <c r="W189" s="101"/>
    </row>
    <row r="190" spans="2:23" ht="18" customHeight="1" x14ac:dyDescent="0.4">
      <c r="B190" s="102"/>
      <c r="C190" s="103"/>
      <c r="D190" s="103"/>
      <c r="E190" s="103"/>
      <c r="F190" s="103"/>
      <c r="G190" s="103"/>
      <c r="H190" s="103"/>
      <c r="I190" s="103"/>
      <c r="J190" s="100"/>
      <c r="K190" s="100"/>
      <c r="L190" s="101"/>
      <c r="M190" s="102"/>
      <c r="N190" s="103"/>
      <c r="O190" s="103"/>
      <c r="P190" s="103"/>
      <c r="Q190" s="103"/>
      <c r="R190" s="103"/>
      <c r="S190" s="103"/>
      <c r="T190" s="103"/>
      <c r="U190" s="104">
        <f t="shared" si="55"/>
        <v>0</v>
      </c>
      <c r="V190" s="100"/>
      <c r="W190" s="101"/>
    </row>
    <row r="191" spans="2:23" ht="18" customHeight="1" x14ac:dyDescent="0.4">
      <c r="B191" s="109"/>
      <c r="C191" s="110"/>
      <c r="D191" s="110"/>
      <c r="E191" s="110"/>
      <c r="F191" s="110"/>
      <c r="G191" s="110"/>
      <c r="H191" s="110"/>
      <c r="I191" s="110"/>
      <c r="J191" s="107"/>
      <c r="K191" s="107"/>
      <c r="L191" s="108"/>
      <c r="M191" s="109"/>
      <c r="N191" s="110"/>
      <c r="O191" s="110"/>
      <c r="P191" s="110"/>
      <c r="Q191" s="110"/>
      <c r="R191" s="110"/>
      <c r="S191" s="110"/>
      <c r="T191" s="110"/>
      <c r="U191" s="111">
        <f t="shared" si="55"/>
        <v>0</v>
      </c>
      <c r="V191" s="107"/>
      <c r="W191" s="108"/>
    </row>
    <row r="192" spans="2:23" ht="18" customHeight="1" x14ac:dyDescent="0.4">
      <c r="B192" s="86"/>
      <c r="C192" s="87"/>
      <c r="D192" s="87"/>
      <c r="E192" s="87"/>
      <c r="F192" s="87"/>
      <c r="G192" s="87"/>
      <c r="H192" s="87"/>
      <c r="I192" s="87"/>
      <c r="J192" s="88" t="s">
        <v>105</v>
      </c>
      <c r="K192" s="87"/>
      <c r="L192" s="89"/>
      <c r="M192" s="90">
        <f>B192</f>
        <v>0</v>
      </c>
      <c r="N192" s="87"/>
      <c r="O192" s="87"/>
      <c r="P192" s="87"/>
      <c r="Q192" s="87"/>
      <c r="R192" s="87"/>
      <c r="S192" s="87"/>
      <c r="T192" s="87"/>
      <c r="U192" s="88" t="s">
        <v>105</v>
      </c>
      <c r="V192" s="87"/>
      <c r="W192" s="89"/>
    </row>
    <row r="193" spans="2:23" ht="18" customHeight="1" x14ac:dyDescent="0.4">
      <c r="B193" s="95"/>
      <c r="C193" s="96"/>
      <c r="D193" s="96"/>
      <c r="E193" s="96"/>
      <c r="F193" s="96"/>
      <c r="G193" s="96"/>
      <c r="H193" s="96"/>
      <c r="I193" s="96"/>
      <c r="J193" s="93"/>
      <c r="K193" s="93"/>
      <c r="L193" s="94"/>
      <c r="M193" s="95"/>
      <c r="N193" s="96"/>
      <c r="O193" s="96"/>
      <c r="P193" s="96"/>
      <c r="Q193" s="96"/>
      <c r="R193" s="96"/>
      <c r="S193" s="96"/>
      <c r="T193" s="96"/>
      <c r="U193" s="97">
        <f t="shared" ref="U193:U202" si="56">J193</f>
        <v>0</v>
      </c>
      <c r="V193" s="93"/>
      <c r="W193" s="94"/>
    </row>
    <row r="194" spans="2:23" ht="18" customHeight="1" x14ac:dyDescent="0.4">
      <c r="B194" s="102"/>
      <c r="C194" s="103"/>
      <c r="D194" s="103"/>
      <c r="E194" s="103"/>
      <c r="F194" s="103"/>
      <c r="G194" s="103"/>
      <c r="H194" s="103"/>
      <c r="I194" s="103"/>
      <c r="J194" s="100"/>
      <c r="K194" s="100"/>
      <c r="L194" s="101"/>
      <c r="M194" s="102"/>
      <c r="N194" s="103"/>
      <c r="O194" s="103"/>
      <c r="P194" s="103"/>
      <c r="Q194" s="103"/>
      <c r="R194" s="103"/>
      <c r="S194" s="103"/>
      <c r="T194" s="103"/>
      <c r="U194" s="104">
        <f t="shared" si="56"/>
        <v>0</v>
      </c>
      <c r="V194" s="100"/>
      <c r="W194" s="101"/>
    </row>
    <row r="195" spans="2:23" ht="18" customHeight="1" x14ac:dyDescent="0.4">
      <c r="B195" s="102"/>
      <c r="C195" s="103"/>
      <c r="D195" s="103"/>
      <c r="E195" s="103"/>
      <c r="F195" s="103"/>
      <c r="G195" s="103"/>
      <c r="H195" s="103"/>
      <c r="I195" s="103"/>
      <c r="J195" s="100"/>
      <c r="K195" s="100"/>
      <c r="L195" s="101"/>
      <c r="M195" s="102"/>
      <c r="N195" s="103"/>
      <c r="O195" s="103"/>
      <c r="P195" s="103"/>
      <c r="Q195" s="103"/>
      <c r="R195" s="103"/>
      <c r="S195" s="103"/>
      <c r="T195" s="103"/>
      <c r="U195" s="104">
        <f t="shared" si="56"/>
        <v>0</v>
      </c>
      <c r="V195" s="100"/>
      <c r="W195" s="101"/>
    </row>
    <row r="196" spans="2:23" ht="18" customHeight="1" x14ac:dyDescent="0.4">
      <c r="B196" s="102"/>
      <c r="C196" s="103"/>
      <c r="D196" s="103"/>
      <c r="E196" s="103"/>
      <c r="F196" s="103"/>
      <c r="G196" s="103"/>
      <c r="H196" s="103"/>
      <c r="I196" s="103"/>
      <c r="J196" s="100"/>
      <c r="K196" s="100"/>
      <c r="L196" s="101"/>
      <c r="M196" s="102"/>
      <c r="N196" s="103"/>
      <c r="O196" s="103"/>
      <c r="P196" s="103"/>
      <c r="Q196" s="103"/>
      <c r="R196" s="103"/>
      <c r="S196" s="103"/>
      <c r="T196" s="103"/>
      <c r="U196" s="104">
        <f t="shared" si="56"/>
        <v>0</v>
      </c>
      <c r="V196" s="100"/>
      <c r="W196" s="101"/>
    </row>
    <row r="197" spans="2:23" ht="18" customHeight="1" x14ac:dyDescent="0.4">
      <c r="B197" s="102"/>
      <c r="C197" s="103"/>
      <c r="D197" s="103"/>
      <c r="E197" s="103"/>
      <c r="F197" s="103"/>
      <c r="G197" s="103"/>
      <c r="H197" s="103"/>
      <c r="I197" s="103"/>
      <c r="J197" s="100"/>
      <c r="K197" s="100"/>
      <c r="L197" s="101"/>
      <c r="M197" s="102"/>
      <c r="N197" s="103"/>
      <c r="O197" s="103"/>
      <c r="P197" s="103"/>
      <c r="Q197" s="103"/>
      <c r="R197" s="103"/>
      <c r="S197" s="103"/>
      <c r="T197" s="103"/>
      <c r="U197" s="104">
        <f t="shared" si="56"/>
        <v>0</v>
      </c>
      <c r="V197" s="100"/>
      <c r="W197" s="101"/>
    </row>
    <row r="198" spans="2:23" ht="18" customHeight="1" x14ac:dyDescent="0.4">
      <c r="B198" s="102"/>
      <c r="C198" s="103"/>
      <c r="D198" s="103"/>
      <c r="E198" s="103"/>
      <c r="F198" s="103"/>
      <c r="G198" s="103"/>
      <c r="H198" s="103"/>
      <c r="I198" s="103"/>
      <c r="J198" s="100"/>
      <c r="K198" s="100"/>
      <c r="L198" s="101"/>
      <c r="M198" s="102"/>
      <c r="N198" s="103"/>
      <c r="O198" s="103"/>
      <c r="P198" s="103"/>
      <c r="Q198" s="103"/>
      <c r="R198" s="103"/>
      <c r="S198" s="103"/>
      <c r="T198" s="103"/>
      <c r="U198" s="104">
        <f t="shared" si="56"/>
        <v>0</v>
      </c>
      <c r="V198" s="100"/>
      <c r="W198" s="101"/>
    </row>
    <row r="199" spans="2:23" ht="18" customHeight="1" x14ac:dyDescent="0.4">
      <c r="B199" s="102"/>
      <c r="C199" s="103"/>
      <c r="D199" s="103"/>
      <c r="E199" s="103"/>
      <c r="F199" s="103"/>
      <c r="G199" s="103"/>
      <c r="H199" s="103"/>
      <c r="I199" s="103"/>
      <c r="J199" s="100"/>
      <c r="K199" s="100"/>
      <c r="L199" s="101"/>
      <c r="M199" s="102"/>
      <c r="N199" s="103"/>
      <c r="O199" s="103"/>
      <c r="P199" s="103"/>
      <c r="Q199" s="103"/>
      <c r="R199" s="103"/>
      <c r="S199" s="103"/>
      <c r="T199" s="103"/>
      <c r="U199" s="104">
        <f t="shared" si="56"/>
        <v>0</v>
      </c>
      <c r="V199" s="100"/>
      <c r="W199" s="101"/>
    </row>
    <row r="200" spans="2:23" ht="18" customHeight="1" x14ac:dyDescent="0.4">
      <c r="B200" s="102"/>
      <c r="C200" s="103"/>
      <c r="D200" s="103"/>
      <c r="E200" s="103"/>
      <c r="F200" s="103"/>
      <c r="G200" s="103"/>
      <c r="H200" s="103"/>
      <c r="I200" s="103"/>
      <c r="J200" s="100"/>
      <c r="K200" s="100"/>
      <c r="L200" s="101"/>
      <c r="M200" s="102"/>
      <c r="N200" s="103"/>
      <c r="O200" s="103"/>
      <c r="P200" s="103"/>
      <c r="Q200" s="103"/>
      <c r="R200" s="103"/>
      <c r="S200" s="103"/>
      <c r="T200" s="103"/>
      <c r="U200" s="104">
        <f t="shared" si="56"/>
        <v>0</v>
      </c>
      <c r="V200" s="100"/>
      <c r="W200" s="101"/>
    </row>
    <row r="201" spans="2:23" ht="18" customHeight="1" x14ac:dyDescent="0.4">
      <c r="B201" s="102"/>
      <c r="C201" s="103"/>
      <c r="D201" s="103"/>
      <c r="E201" s="103"/>
      <c r="F201" s="103"/>
      <c r="G201" s="103"/>
      <c r="H201" s="103"/>
      <c r="I201" s="103"/>
      <c r="J201" s="100"/>
      <c r="K201" s="100"/>
      <c r="L201" s="101"/>
      <c r="M201" s="102"/>
      <c r="N201" s="103"/>
      <c r="O201" s="103"/>
      <c r="P201" s="103"/>
      <c r="Q201" s="103"/>
      <c r="R201" s="103"/>
      <c r="S201" s="103"/>
      <c r="T201" s="103"/>
      <c r="U201" s="104">
        <f t="shared" si="56"/>
        <v>0</v>
      </c>
      <c r="V201" s="100"/>
      <c r="W201" s="101"/>
    </row>
    <row r="202" spans="2:23" ht="18" customHeight="1" x14ac:dyDescent="0.4">
      <c r="B202" s="109"/>
      <c r="C202" s="110"/>
      <c r="D202" s="110"/>
      <c r="E202" s="110"/>
      <c r="F202" s="110"/>
      <c r="G202" s="110"/>
      <c r="H202" s="110"/>
      <c r="I202" s="110"/>
      <c r="J202" s="107"/>
      <c r="K202" s="107"/>
      <c r="L202" s="108"/>
      <c r="M202" s="109"/>
      <c r="N202" s="110"/>
      <c r="O202" s="110"/>
      <c r="P202" s="110"/>
      <c r="Q202" s="110"/>
      <c r="R202" s="110"/>
      <c r="S202" s="110"/>
      <c r="T202" s="110"/>
      <c r="U202" s="111">
        <f t="shared" si="56"/>
        <v>0</v>
      </c>
      <c r="V202" s="107"/>
      <c r="W202" s="108"/>
    </row>
    <row r="203" spans="2:23" ht="18" customHeight="1" x14ac:dyDescent="0.4">
      <c r="B203" s="86"/>
      <c r="C203" s="87"/>
      <c r="D203" s="87"/>
      <c r="E203" s="87"/>
      <c r="F203" s="87"/>
      <c r="G203" s="87"/>
      <c r="H203" s="87"/>
      <c r="I203" s="87"/>
      <c r="J203" s="88" t="s">
        <v>105</v>
      </c>
      <c r="K203" s="87"/>
      <c r="L203" s="89"/>
      <c r="M203" s="90">
        <f>B203</f>
        <v>0</v>
      </c>
      <c r="N203" s="87"/>
      <c r="O203" s="87"/>
      <c r="P203" s="87"/>
      <c r="Q203" s="87"/>
      <c r="R203" s="87"/>
      <c r="S203" s="87"/>
      <c r="T203" s="87"/>
      <c r="U203" s="88" t="s">
        <v>105</v>
      </c>
      <c r="V203" s="87"/>
      <c r="W203" s="89"/>
    </row>
    <row r="204" spans="2:23" ht="18" customHeight="1" x14ac:dyDescent="0.4">
      <c r="B204" s="95"/>
      <c r="C204" s="96"/>
      <c r="D204" s="96"/>
      <c r="E204" s="96"/>
      <c r="F204" s="96"/>
      <c r="G204" s="96"/>
      <c r="H204" s="96"/>
      <c r="I204" s="96"/>
      <c r="J204" s="93"/>
      <c r="K204" s="93"/>
      <c r="L204" s="94"/>
      <c r="M204" s="95"/>
      <c r="N204" s="96"/>
      <c r="O204" s="96"/>
      <c r="P204" s="96"/>
      <c r="Q204" s="96"/>
      <c r="R204" s="96"/>
      <c r="S204" s="96"/>
      <c r="T204" s="96"/>
      <c r="U204" s="97">
        <f t="shared" ref="U204:U213" si="57">J204</f>
        <v>0</v>
      </c>
      <c r="V204" s="93"/>
      <c r="W204" s="94"/>
    </row>
    <row r="205" spans="2:23" ht="18" customHeight="1" x14ac:dyDescent="0.4">
      <c r="B205" s="102"/>
      <c r="C205" s="103"/>
      <c r="D205" s="103"/>
      <c r="E205" s="103"/>
      <c r="F205" s="103"/>
      <c r="G205" s="103"/>
      <c r="H205" s="103"/>
      <c r="I205" s="103"/>
      <c r="J205" s="100"/>
      <c r="K205" s="100"/>
      <c r="L205" s="101"/>
      <c r="M205" s="102"/>
      <c r="N205" s="103"/>
      <c r="O205" s="103"/>
      <c r="P205" s="103"/>
      <c r="Q205" s="103"/>
      <c r="R205" s="103"/>
      <c r="S205" s="103"/>
      <c r="T205" s="103"/>
      <c r="U205" s="104">
        <f t="shared" si="57"/>
        <v>0</v>
      </c>
      <c r="V205" s="100"/>
      <c r="W205" s="101"/>
    </row>
    <row r="206" spans="2:23" ht="18" customHeight="1" x14ac:dyDescent="0.4">
      <c r="B206" s="102"/>
      <c r="C206" s="103"/>
      <c r="D206" s="103"/>
      <c r="E206" s="103"/>
      <c r="F206" s="103"/>
      <c r="G206" s="103"/>
      <c r="H206" s="103"/>
      <c r="I206" s="103"/>
      <c r="J206" s="100"/>
      <c r="K206" s="100"/>
      <c r="L206" s="101"/>
      <c r="M206" s="102"/>
      <c r="N206" s="103"/>
      <c r="O206" s="103"/>
      <c r="P206" s="103"/>
      <c r="Q206" s="103"/>
      <c r="R206" s="103"/>
      <c r="S206" s="103"/>
      <c r="T206" s="103"/>
      <c r="U206" s="104">
        <f t="shared" si="57"/>
        <v>0</v>
      </c>
      <c r="V206" s="100"/>
      <c r="W206" s="101"/>
    </row>
    <row r="207" spans="2:23" ht="18" customHeight="1" x14ac:dyDescent="0.4">
      <c r="B207" s="102"/>
      <c r="C207" s="103"/>
      <c r="D207" s="103"/>
      <c r="E207" s="103"/>
      <c r="F207" s="103"/>
      <c r="G207" s="103"/>
      <c r="H207" s="103"/>
      <c r="I207" s="103"/>
      <c r="J207" s="100"/>
      <c r="K207" s="100"/>
      <c r="L207" s="101"/>
      <c r="M207" s="102"/>
      <c r="N207" s="103"/>
      <c r="O207" s="103"/>
      <c r="P207" s="103"/>
      <c r="Q207" s="103"/>
      <c r="R207" s="103"/>
      <c r="S207" s="103"/>
      <c r="T207" s="103"/>
      <c r="U207" s="104">
        <f t="shared" si="57"/>
        <v>0</v>
      </c>
      <c r="V207" s="100"/>
      <c r="W207" s="101"/>
    </row>
    <row r="208" spans="2:23" ht="18" customHeight="1" x14ac:dyDescent="0.4">
      <c r="B208" s="102"/>
      <c r="C208" s="103"/>
      <c r="D208" s="103"/>
      <c r="E208" s="103"/>
      <c r="F208" s="103"/>
      <c r="G208" s="103"/>
      <c r="H208" s="103"/>
      <c r="I208" s="103"/>
      <c r="J208" s="100"/>
      <c r="K208" s="100"/>
      <c r="L208" s="101"/>
      <c r="M208" s="102"/>
      <c r="N208" s="103"/>
      <c r="O208" s="103"/>
      <c r="P208" s="103"/>
      <c r="Q208" s="103"/>
      <c r="R208" s="103"/>
      <c r="S208" s="103"/>
      <c r="T208" s="103"/>
      <c r="U208" s="104">
        <f t="shared" si="57"/>
        <v>0</v>
      </c>
      <c r="V208" s="100"/>
      <c r="W208" s="101"/>
    </row>
    <row r="209" spans="2:23" ht="18" customHeight="1" x14ac:dyDescent="0.4">
      <c r="B209" s="102"/>
      <c r="C209" s="103"/>
      <c r="D209" s="103"/>
      <c r="E209" s="103"/>
      <c r="F209" s="103"/>
      <c r="G209" s="103"/>
      <c r="H209" s="103"/>
      <c r="I209" s="103"/>
      <c r="J209" s="100"/>
      <c r="K209" s="100"/>
      <c r="L209" s="101"/>
      <c r="M209" s="102"/>
      <c r="N209" s="103"/>
      <c r="O209" s="103"/>
      <c r="P209" s="103"/>
      <c r="Q209" s="103"/>
      <c r="R209" s="103"/>
      <c r="S209" s="103"/>
      <c r="T209" s="103"/>
      <c r="U209" s="104">
        <f t="shared" si="57"/>
        <v>0</v>
      </c>
      <c r="V209" s="100"/>
      <c r="W209" s="101"/>
    </row>
    <row r="210" spans="2:23" ht="18" customHeight="1" x14ac:dyDescent="0.4">
      <c r="B210" s="102"/>
      <c r="C210" s="103"/>
      <c r="D210" s="103"/>
      <c r="E210" s="103"/>
      <c r="F210" s="103"/>
      <c r="G210" s="103"/>
      <c r="H210" s="103"/>
      <c r="I210" s="103"/>
      <c r="J210" s="100"/>
      <c r="K210" s="100"/>
      <c r="L210" s="101"/>
      <c r="M210" s="102"/>
      <c r="N210" s="103"/>
      <c r="O210" s="103"/>
      <c r="P210" s="103"/>
      <c r="Q210" s="103"/>
      <c r="R210" s="103"/>
      <c r="S210" s="103"/>
      <c r="T210" s="103"/>
      <c r="U210" s="104">
        <f t="shared" si="57"/>
        <v>0</v>
      </c>
      <c r="V210" s="100"/>
      <c r="W210" s="101"/>
    </row>
    <row r="211" spans="2:23" ht="18" customHeight="1" x14ac:dyDescent="0.4">
      <c r="B211" s="102"/>
      <c r="C211" s="103"/>
      <c r="D211" s="103"/>
      <c r="E211" s="103"/>
      <c r="F211" s="103"/>
      <c r="G211" s="103"/>
      <c r="H211" s="103"/>
      <c r="I211" s="103"/>
      <c r="J211" s="100"/>
      <c r="K211" s="100"/>
      <c r="L211" s="101"/>
      <c r="M211" s="102"/>
      <c r="N211" s="103"/>
      <c r="O211" s="103"/>
      <c r="P211" s="103"/>
      <c r="Q211" s="103"/>
      <c r="R211" s="103"/>
      <c r="S211" s="103"/>
      <c r="T211" s="103"/>
      <c r="U211" s="104">
        <f t="shared" si="57"/>
        <v>0</v>
      </c>
      <c r="V211" s="100"/>
      <c r="W211" s="101"/>
    </row>
    <row r="212" spans="2:23" ht="18" customHeight="1" x14ac:dyDescent="0.4">
      <c r="B212" s="102"/>
      <c r="C212" s="103"/>
      <c r="D212" s="103"/>
      <c r="E212" s="103"/>
      <c r="F212" s="103"/>
      <c r="G212" s="103"/>
      <c r="H212" s="103"/>
      <c r="I212" s="103"/>
      <c r="J212" s="100"/>
      <c r="K212" s="100"/>
      <c r="L212" s="101"/>
      <c r="M212" s="102"/>
      <c r="N212" s="103"/>
      <c r="O212" s="103"/>
      <c r="P212" s="103"/>
      <c r="Q212" s="103"/>
      <c r="R212" s="103"/>
      <c r="S212" s="103"/>
      <c r="T212" s="103"/>
      <c r="U212" s="104">
        <f t="shared" si="57"/>
        <v>0</v>
      </c>
      <c r="V212" s="100"/>
      <c r="W212" s="101"/>
    </row>
    <row r="213" spans="2:23" ht="18" customHeight="1" x14ac:dyDescent="0.4">
      <c r="B213" s="109"/>
      <c r="C213" s="110"/>
      <c r="D213" s="110"/>
      <c r="E213" s="110"/>
      <c r="F213" s="110"/>
      <c r="G213" s="110"/>
      <c r="H213" s="110"/>
      <c r="I213" s="110"/>
      <c r="J213" s="107"/>
      <c r="K213" s="107"/>
      <c r="L213" s="108"/>
      <c r="M213" s="109"/>
      <c r="N213" s="110"/>
      <c r="O213" s="110"/>
      <c r="P213" s="110"/>
      <c r="Q213" s="110"/>
      <c r="R213" s="110"/>
      <c r="S213" s="110"/>
      <c r="T213" s="110"/>
      <c r="U213" s="111">
        <f t="shared" si="57"/>
        <v>0</v>
      </c>
      <c r="V213" s="107"/>
      <c r="W213" s="108"/>
    </row>
    <row r="214" spans="2:23" ht="18" customHeight="1" x14ac:dyDescent="0.4">
      <c r="B214" s="86"/>
      <c r="C214" s="87"/>
      <c r="D214" s="87"/>
      <c r="E214" s="87"/>
      <c r="F214" s="87"/>
      <c r="G214" s="87"/>
      <c r="H214" s="87"/>
      <c r="I214" s="87"/>
      <c r="J214" s="88" t="s">
        <v>105</v>
      </c>
      <c r="K214" s="87"/>
      <c r="L214" s="89"/>
      <c r="M214" s="90">
        <f>B214</f>
        <v>0</v>
      </c>
      <c r="N214" s="87"/>
      <c r="O214" s="87"/>
      <c r="P214" s="87"/>
      <c r="Q214" s="87"/>
      <c r="R214" s="87"/>
      <c r="S214" s="87"/>
      <c r="T214" s="87"/>
      <c r="U214" s="88" t="s">
        <v>105</v>
      </c>
      <c r="V214" s="87"/>
      <c r="W214" s="89"/>
    </row>
    <row r="215" spans="2:23" ht="18" customHeight="1" x14ac:dyDescent="0.4">
      <c r="B215" s="95"/>
      <c r="C215" s="96"/>
      <c r="D215" s="96"/>
      <c r="E215" s="96"/>
      <c r="F215" s="96"/>
      <c r="G215" s="96"/>
      <c r="H215" s="96"/>
      <c r="I215" s="96"/>
      <c r="J215" s="93"/>
      <c r="K215" s="93"/>
      <c r="L215" s="94"/>
      <c r="M215" s="95"/>
      <c r="N215" s="96"/>
      <c r="O215" s="96"/>
      <c r="P215" s="96"/>
      <c r="Q215" s="96"/>
      <c r="R215" s="96"/>
      <c r="S215" s="96"/>
      <c r="T215" s="96"/>
      <c r="U215" s="97">
        <f t="shared" ref="U215:U224" si="58">J215</f>
        <v>0</v>
      </c>
      <c r="V215" s="93"/>
      <c r="W215" s="94"/>
    </row>
    <row r="216" spans="2:23" ht="18" customHeight="1" x14ac:dyDescent="0.4">
      <c r="B216" s="102"/>
      <c r="C216" s="103"/>
      <c r="D216" s="103"/>
      <c r="E216" s="103"/>
      <c r="F216" s="103"/>
      <c r="G216" s="103"/>
      <c r="H216" s="103"/>
      <c r="I216" s="103"/>
      <c r="J216" s="100"/>
      <c r="K216" s="100"/>
      <c r="L216" s="101"/>
      <c r="M216" s="102"/>
      <c r="N216" s="103"/>
      <c r="O216" s="103"/>
      <c r="P216" s="103"/>
      <c r="Q216" s="103"/>
      <c r="R216" s="103"/>
      <c r="S216" s="103"/>
      <c r="T216" s="103"/>
      <c r="U216" s="104">
        <f t="shared" si="58"/>
        <v>0</v>
      </c>
      <c r="V216" s="100"/>
      <c r="W216" s="101"/>
    </row>
    <row r="217" spans="2:23" ht="18" customHeight="1" x14ac:dyDescent="0.4">
      <c r="B217" s="102"/>
      <c r="C217" s="103"/>
      <c r="D217" s="103"/>
      <c r="E217" s="103"/>
      <c r="F217" s="103"/>
      <c r="G217" s="103"/>
      <c r="H217" s="103"/>
      <c r="I217" s="103"/>
      <c r="J217" s="100"/>
      <c r="K217" s="100"/>
      <c r="L217" s="101"/>
      <c r="M217" s="102"/>
      <c r="N217" s="103"/>
      <c r="O217" s="103"/>
      <c r="P217" s="103"/>
      <c r="Q217" s="103"/>
      <c r="R217" s="103"/>
      <c r="S217" s="103"/>
      <c r="T217" s="103"/>
      <c r="U217" s="104">
        <f t="shared" si="58"/>
        <v>0</v>
      </c>
      <c r="V217" s="100"/>
      <c r="W217" s="101"/>
    </row>
    <row r="218" spans="2:23" ht="18" customHeight="1" x14ac:dyDescent="0.4">
      <c r="B218" s="102"/>
      <c r="C218" s="103"/>
      <c r="D218" s="103"/>
      <c r="E218" s="103"/>
      <c r="F218" s="103"/>
      <c r="G218" s="103"/>
      <c r="H218" s="103"/>
      <c r="I218" s="103"/>
      <c r="J218" s="100"/>
      <c r="K218" s="100"/>
      <c r="L218" s="101"/>
      <c r="M218" s="102"/>
      <c r="N218" s="103"/>
      <c r="O218" s="103"/>
      <c r="P218" s="103"/>
      <c r="Q218" s="103"/>
      <c r="R218" s="103"/>
      <c r="S218" s="103"/>
      <c r="T218" s="103"/>
      <c r="U218" s="104">
        <f t="shared" si="58"/>
        <v>0</v>
      </c>
      <c r="V218" s="100"/>
      <c r="W218" s="101"/>
    </row>
    <row r="219" spans="2:23" ht="18" customHeight="1" x14ac:dyDescent="0.4">
      <c r="B219" s="102"/>
      <c r="C219" s="103"/>
      <c r="D219" s="103"/>
      <c r="E219" s="103"/>
      <c r="F219" s="103"/>
      <c r="G219" s="103"/>
      <c r="H219" s="103"/>
      <c r="I219" s="103"/>
      <c r="J219" s="100"/>
      <c r="K219" s="100"/>
      <c r="L219" s="101"/>
      <c r="M219" s="102"/>
      <c r="N219" s="103"/>
      <c r="O219" s="103"/>
      <c r="P219" s="103"/>
      <c r="Q219" s="103"/>
      <c r="R219" s="103"/>
      <c r="S219" s="103"/>
      <c r="T219" s="103"/>
      <c r="U219" s="104">
        <f t="shared" si="58"/>
        <v>0</v>
      </c>
      <c r="V219" s="100"/>
      <c r="W219" s="101"/>
    </row>
    <row r="220" spans="2:23" ht="18" customHeight="1" x14ac:dyDescent="0.4">
      <c r="B220" s="102"/>
      <c r="C220" s="103"/>
      <c r="D220" s="103"/>
      <c r="E220" s="103"/>
      <c r="F220" s="103"/>
      <c r="G220" s="103"/>
      <c r="H220" s="103"/>
      <c r="I220" s="103"/>
      <c r="J220" s="100"/>
      <c r="K220" s="100"/>
      <c r="L220" s="101"/>
      <c r="M220" s="102"/>
      <c r="N220" s="103"/>
      <c r="O220" s="103"/>
      <c r="P220" s="103"/>
      <c r="Q220" s="103"/>
      <c r="R220" s="103"/>
      <c r="S220" s="103"/>
      <c r="T220" s="103"/>
      <c r="U220" s="104">
        <f t="shared" si="58"/>
        <v>0</v>
      </c>
      <c r="V220" s="100"/>
      <c r="W220" s="101"/>
    </row>
    <row r="221" spans="2:23" ht="18" customHeight="1" x14ac:dyDescent="0.4">
      <c r="B221" s="102"/>
      <c r="C221" s="103"/>
      <c r="D221" s="103"/>
      <c r="E221" s="103"/>
      <c r="F221" s="103"/>
      <c r="G221" s="103"/>
      <c r="H221" s="103"/>
      <c r="I221" s="103"/>
      <c r="J221" s="100"/>
      <c r="K221" s="100"/>
      <c r="L221" s="101"/>
      <c r="M221" s="102"/>
      <c r="N221" s="103"/>
      <c r="O221" s="103"/>
      <c r="P221" s="103"/>
      <c r="Q221" s="103"/>
      <c r="R221" s="103"/>
      <c r="S221" s="103"/>
      <c r="T221" s="103"/>
      <c r="U221" s="104">
        <f t="shared" si="58"/>
        <v>0</v>
      </c>
      <c r="V221" s="100"/>
      <c r="W221" s="101"/>
    </row>
    <row r="222" spans="2:23" ht="18" customHeight="1" x14ac:dyDescent="0.4">
      <c r="B222" s="102"/>
      <c r="C222" s="103"/>
      <c r="D222" s="103"/>
      <c r="E222" s="103"/>
      <c r="F222" s="103"/>
      <c r="G222" s="103"/>
      <c r="H222" s="103"/>
      <c r="I222" s="103"/>
      <c r="J222" s="100"/>
      <c r="K222" s="100"/>
      <c r="L222" s="101"/>
      <c r="M222" s="102"/>
      <c r="N222" s="103"/>
      <c r="O222" s="103"/>
      <c r="P222" s="103"/>
      <c r="Q222" s="103"/>
      <c r="R222" s="103"/>
      <c r="S222" s="103"/>
      <c r="T222" s="103"/>
      <c r="U222" s="104">
        <f t="shared" si="58"/>
        <v>0</v>
      </c>
      <c r="V222" s="100"/>
      <c r="W222" s="101"/>
    </row>
    <row r="223" spans="2:23" ht="18" customHeight="1" x14ac:dyDescent="0.4">
      <c r="B223" s="102"/>
      <c r="C223" s="103"/>
      <c r="D223" s="103"/>
      <c r="E223" s="103"/>
      <c r="F223" s="103"/>
      <c r="G223" s="103"/>
      <c r="H223" s="103"/>
      <c r="I223" s="103"/>
      <c r="J223" s="100"/>
      <c r="K223" s="100"/>
      <c r="L223" s="101"/>
      <c r="M223" s="102"/>
      <c r="N223" s="103"/>
      <c r="O223" s="103"/>
      <c r="P223" s="103"/>
      <c r="Q223" s="103"/>
      <c r="R223" s="103"/>
      <c r="S223" s="103"/>
      <c r="T223" s="103"/>
      <c r="U223" s="104">
        <f t="shared" si="58"/>
        <v>0</v>
      </c>
      <c r="V223" s="100"/>
      <c r="W223" s="101"/>
    </row>
    <row r="224" spans="2:23" ht="18" customHeight="1" x14ac:dyDescent="0.4">
      <c r="B224" s="109"/>
      <c r="C224" s="110"/>
      <c r="D224" s="110"/>
      <c r="E224" s="110"/>
      <c r="F224" s="110"/>
      <c r="G224" s="110"/>
      <c r="H224" s="110"/>
      <c r="I224" s="110"/>
      <c r="J224" s="107"/>
      <c r="K224" s="107"/>
      <c r="L224" s="108"/>
      <c r="M224" s="109"/>
      <c r="N224" s="110"/>
      <c r="O224" s="110"/>
      <c r="P224" s="110"/>
      <c r="Q224" s="110"/>
      <c r="R224" s="110"/>
      <c r="S224" s="110"/>
      <c r="T224" s="110"/>
      <c r="U224" s="111">
        <f t="shared" si="58"/>
        <v>0</v>
      </c>
      <c r="V224" s="107"/>
      <c r="W224" s="108"/>
    </row>
    <row r="225" spans="2:23" ht="18" customHeight="1" x14ac:dyDescent="0.4">
      <c r="B225" s="86"/>
      <c r="C225" s="87"/>
      <c r="D225" s="87"/>
      <c r="E225" s="87"/>
      <c r="F225" s="87"/>
      <c r="G225" s="87"/>
      <c r="H225" s="87"/>
      <c r="I225" s="87"/>
      <c r="J225" s="88" t="s">
        <v>105</v>
      </c>
      <c r="K225" s="87"/>
      <c r="L225" s="89"/>
      <c r="M225" s="90">
        <f>B225</f>
        <v>0</v>
      </c>
      <c r="N225" s="87"/>
      <c r="O225" s="87"/>
      <c r="P225" s="87"/>
      <c r="Q225" s="87"/>
      <c r="R225" s="87"/>
      <c r="S225" s="87"/>
      <c r="T225" s="87"/>
      <c r="U225" s="88" t="s">
        <v>105</v>
      </c>
      <c r="V225" s="87"/>
      <c r="W225" s="89"/>
    </row>
    <row r="226" spans="2:23" ht="18" customHeight="1" x14ac:dyDescent="0.4">
      <c r="B226" s="95"/>
      <c r="C226" s="96"/>
      <c r="D226" s="96"/>
      <c r="E226" s="96"/>
      <c r="F226" s="96"/>
      <c r="G226" s="96"/>
      <c r="H226" s="96"/>
      <c r="I226" s="96"/>
      <c r="J226" s="93"/>
      <c r="K226" s="93"/>
      <c r="L226" s="94"/>
      <c r="M226" s="95"/>
      <c r="N226" s="96"/>
      <c r="O226" s="96"/>
      <c r="P226" s="96"/>
      <c r="Q226" s="96"/>
      <c r="R226" s="96"/>
      <c r="S226" s="96"/>
      <c r="T226" s="96"/>
      <c r="U226" s="97">
        <f t="shared" ref="U226:U235" si="59">J226</f>
        <v>0</v>
      </c>
      <c r="V226" s="93"/>
      <c r="W226" s="94"/>
    </row>
    <row r="227" spans="2:23" ht="18" customHeight="1" x14ac:dyDescent="0.4">
      <c r="B227" s="102"/>
      <c r="C227" s="103"/>
      <c r="D227" s="103"/>
      <c r="E227" s="103"/>
      <c r="F227" s="103"/>
      <c r="G227" s="103"/>
      <c r="H227" s="103"/>
      <c r="I227" s="103"/>
      <c r="J227" s="100"/>
      <c r="K227" s="100"/>
      <c r="L227" s="101"/>
      <c r="M227" s="102"/>
      <c r="N227" s="103"/>
      <c r="O227" s="103"/>
      <c r="P227" s="103"/>
      <c r="Q227" s="103"/>
      <c r="R227" s="103"/>
      <c r="S227" s="103"/>
      <c r="T227" s="103"/>
      <c r="U227" s="104">
        <f t="shared" si="59"/>
        <v>0</v>
      </c>
      <c r="V227" s="100"/>
      <c r="W227" s="101"/>
    </row>
    <row r="228" spans="2:23" ht="18" customHeight="1" x14ac:dyDescent="0.4">
      <c r="B228" s="102"/>
      <c r="C228" s="103"/>
      <c r="D228" s="103"/>
      <c r="E228" s="103"/>
      <c r="F228" s="103"/>
      <c r="G228" s="103"/>
      <c r="H228" s="103"/>
      <c r="I228" s="103"/>
      <c r="J228" s="100"/>
      <c r="K228" s="100"/>
      <c r="L228" s="101"/>
      <c r="M228" s="102"/>
      <c r="N228" s="103"/>
      <c r="O228" s="103"/>
      <c r="P228" s="103"/>
      <c r="Q228" s="103"/>
      <c r="R228" s="103"/>
      <c r="S228" s="103"/>
      <c r="T228" s="103"/>
      <c r="U228" s="104">
        <f t="shared" si="59"/>
        <v>0</v>
      </c>
      <c r="V228" s="100"/>
      <c r="W228" s="101"/>
    </row>
    <row r="229" spans="2:23" ht="18" customHeight="1" x14ac:dyDescent="0.4">
      <c r="B229" s="102"/>
      <c r="C229" s="103"/>
      <c r="D229" s="103"/>
      <c r="E229" s="103"/>
      <c r="F229" s="103"/>
      <c r="G229" s="103"/>
      <c r="H229" s="103"/>
      <c r="I229" s="103"/>
      <c r="J229" s="100"/>
      <c r="K229" s="100"/>
      <c r="L229" s="101"/>
      <c r="M229" s="102"/>
      <c r="N229" s="103"/>
      <c r="O229" s="103"/>
      <c r="P229" s="103"/>
      <c r="Q229" s="103"/>
      <c r="R229" s="103"/>
      <c r="S229" s="103"/>
      <c r="T229" s="103"/>
      <c r="U229" s="104">
        <f t="shared" si="59"/>
        <v>0</v>
      </c>
      <c r="V229" s="100"/>
      <c r="W229" s="101"/>
    </row>
    <row r="230" spans="2:23" ht="18" customHeight="1" x14ac:dyDescent="0.4">
      <c r="B230" s="102"/>
      <c r="C230" s="103"/>
      <c r="D230" s="103"/>
      <c r="E230" s="103"/>
      <c r="F230" s="103"/>
      <c r="G230" s="103"/>
      <c r="H230" s="103"/>
      <c r="I230" s="103"/>
      <c r="J230" s="100"/>
      <c r="K230" s="100"/>
      <c r="L230" s="101"/>
      <c r="M230" s="102"/>
      <c r="N230" s="103"/>
      <c r="O230" s="103"/>
      <c r="P230" s="103"/>
      <c r="Q230" s="103"/>
      <c r="R230" s="103"/>
      <c r="S230" s="103"/>
      <c r="T230" s="103"/>
      <c r="U230" s="104">
        <f t="shared" si="59"/>
        <v>0</v>
      </c>
      <c r="V230" s="100"/>
      <c r="W230" s="101"/>
    </row>
    <row r="231" spans="2:23" ht="18" customHeight="1" x14ac:dyDescent="0.4">
      <c r="B231" s="102"/>
      <c r="C231" s="103"/>
      <c r="D231" s="103"/>
      <c r="E231" s="103"/>
      <c r="F231" s="103"/>
      <c r="G231" s="103"/>
      <c r="H231" s="103"/>
      <c r="I231" s="103"/>
      <c r="J231" s="100"/>
      <c r="K231" s="100"/>
      <c r="L231" s="101"/>
      <c r="M231" s="102"/>
      <c r="N231" s="103"/>
      <c r="O231" s="103"/>
      <c r="P231" s="103"/>
      <c r="Q231" s="103"/>
      <c r="R231" s="103"/>
      <c r="S231" s="103"/>
      <c r="T231" s="103"/>
      <c r="U231" s="104">
        <f t="shared" si="59"/>
        <v>0</v>
      </c>
      <c r="V231" s="100"/>
      <c r="W231" s="101"/>
    </row>
    <row r="232" spans="2:23" ht="18" customHeight="1" x14ac:dyDescent="0.4">
      <c r="B232" s="102"/>
      <c r="C232" s="103"/>
      <c r="D232" s="103"/>
      <c r="E232" s="103"/>
      <c r="F232" s="103"/>
      <c r="G232" s="103"/>
      <c r="H232" s="103"/>
      <c r="I232" s="103"/>
      <c r="J232" s="100"/>
      <c r="K232" s="100"/>
      <c r="L232" s="101"/>
      <c r="M232" s="102"/>
      <c r="N232" s="103"/>
      <c r="O232" s="103"/>
      <c r="P232" s="103"/>
      <c r="Q232" s="103"/>
      <c r="R232" s="103"/>
      <c r="S232" s="103"/>
      <c r="T232" s="103"/>
      <c r="U232" s="104">
        <f t="shared" si="59"/>
        <v>0</v>
      </c>
      <c r="V232" s="100"/>
      <c r="W232" s="101"/>
    </row>
    <row r="233" spans="2:23" ht="18" customHeight="1" x14ac:dyDescent="0.4">
      <c r="B233" s="102"/>
      <c r="C233" s="103"/>
      <c r="D233" s="103"/>
      <c r="E233" s="103"/>
      <c r="F233" s="103"/>
      <c r="G233" s="103"/>
      <c r="H233" s="103"/>
      <c r="I233" s="103"/>
      <c r="J233" s="100"/>
      <c r="K233" s="100"/>
      <c r="L233" s="101"/>
      <c r="M233" s="102"/>
      <c r="N233" s="103"/>
      <c r="O233" s="103"/>
      <c r="P233" s="103"/>
      <c r="Q233" s="103"/>
      <c r="R233" s="103"/>
      <c r="S233" s="103"/>
      <c r="T233" s="103"/>
      <c r="U233" s="104">
        <f t="shared" si="59"/>
        <v>0</v>
      </c>
      <c r="V233" s="100"/>
      <c r="W233" s="101"/>
    </row>
    <row r="234" spans="2:23" ht="18" customHeight="1" x14ac:dyDescent="0.4">
      <c r="B234" s="102"/>
      <c r="C234" s="103"/>
      <c r="D234" s="103"/>
      <c r="E234" s="103"/>
      <c r="F234" s="103"/>
      <c r="G234" s="103"/>
      <c r="H234" s="103"/>
      <c r="I234" s="103"/>
      <c r="J234" s="100"/>
      <c r="K234" s="100"/>
      <c r="L234" s="101"/>
      <c r="M234" s="102"/>
      <c r="N234" s="103"/>
      <c r="O234" s="103"/>
      <c r="P234" s="103"/>
      <c r="Q234" s="103"/>
      <c r="R234" s="103"/>
      <c r="S234" s="103"/>
      <c r="T234" s="103"/>
      <c r="U234" s="104">
        <f t="shared" si="59"/>
        <v>0</v>
      </c>
      <c r="V234" s="100"/>
      <c r="W234" s="101"/>
    </row>
    <row r="235" spans="2:23" ht="18" customHeight="1" x14ac:dyDescent="0.4">
      <c r="B235" s="109"/>
      <c r="C235" s="110"/>
      <c r="D235" s="110"/>
      <c r="E235" s="110"/>
      <c r="F235" s="110"/>
      <c r="G235" s="110"/>
      <c r="H235" s="110"/>
      <c r="I235" s="110"/>
      <c r="J235" s="107"/>
      <c r="K235" s="107"/>
      <c r="L235" s="108"/>
      <c r="M235" s="109"/>
      <c r="N235" s="110"/>
      <c r="O235" s="110"/>
      <c r="P235" s="110"/>
      <c r="Q235" s="110"/>
      <c r="R235" s="110"/>
      <c r="S235" s="110"/>
      <c r="T235" s="110"/>
      <c r="U235" s="111">
        <f t="shared" si="59"/>
        <v>0</v>
      </c>
      <c r="V235" s="107"/>
      <c r="W235" s="108"/>
    </row>
    <row r="236" spans="2:23" ht="18" customHeight="1" x14ac:dyDescent="0.4">
      <c r="B236" s="86"/>
      <c r="C236" s="87"/>
      <c r="D236" s="87"/>
      <c r="E236" s="87"/>
      <c r="F236" s="87"/>
      <c r="G236" s="87"/>
      <c r="H236" s="87"/>
      <c r="I236" s="87"/>
      <c r="J236" s="88" t="s">
        <v>105</v>
      </c>
      <c r="K236" s="87"/>
      <c r="L236" s="89"/>
      <c r="M236" s="90">
        <f>B236</f>
        <v>0</v>
      </c>
      <c r="N236" s="87"/>
      <c r="O236" s="87"/>
      <c r="P236" s="87"/>
      <c r="Q236" s="87"/>
      <c r="R236" s="87"/>
      <c r="S236" s="87"/>
      <c r="T236" s="87"/>
      <c r="U236" s="88" t="s">
        <v>105</v>
      </c>
      <c r="V236" s="87"/>
      <c r="W236" s="89"/>
    </row>
    <row r="237" spans="2:23" ht="18" customHeight="1" x14ac:dyDescent="0.4">
      <c r="B237" s="95"/>
      <c r="C237" s="96"/>
      <c r="D237" s="96"/>
      <c r="E237" s="96"/>
      <c r="F237" s="96"/>
      <c r="G237" s="96"/>
      <c r="H237" s="96"/>
      <c r="I237" s="96"/>
      <c r="J237" s="93"/>
      <c r="K237" s="93"/>
      <c r="L237" s="94"/>
      <c r="M237" s="95"/>
      <c r="N237" s="96"/>
      <c r="O237" s="96"/>
      <c r="P237" s="96"/>
      <c r="Q237" s="96"/>
      <c r="R237" s="96"/>
      <c r="S237" s="96"/>
      <c r="T237" s="96"/>
      <c r="U237" s="97">
        <f t="shared" ref="U237:U246" si="60">J237</f>
        <v>0</v>
      </c>
      <c r="V237" s="93"/>
      <c r="W237" s="94"/>
    </row>
    <row r="238" spans="2:23" ht="18" customHeight="1" x14ac:dyDescent="0.4">
      <c r="B238" s="102"/>
      <c r="C238" s="103"/>
      <c r="D238" s="103"/>
      <c r="E238" s="103"/>
      <c r="F238" s="103"/>
      <c r="G238" s="103"/>
      <c r="H238" s="103"/>
      <c r="I238" s="103"/>
      <c r="J238" s="100"/>
      <c r="K238" s="100"/>
      <c r="L238" s="101"/>
      <c r="M238" s="102"/>
      <c r="N238" s="103"/>
      <c r="O238" s="103"/>
      <c r="P238" s="103"/>
      <c r="Q238" s="103"/>
      <c r="R238" s="103"/>
      <c r="S238" s="103"/>
      <c r="T238" s="103"/>
      <c r="U238" s="104">
        <f t="shared" si="60"/>
        <v>0</v>
      </c>
      <c r="V238" s="100"/>
      <c r="W238" s="101"/>
    </row>
    <row r="239" spans="2:23" ht="18" customHeight="1" x14ac:dyDescent="0.4">
      <c r="B239" s="102"/>
      <c r="C239" s="103"/>
      <c r="D239" s="103"/>
      <c r="E239" s="103"/>
      <c r="F239" s="103"/>
      <c r="G239" s="103"/>
      <c r="H239" s="103"/>
      <c r="I239" s="103"/>
      <c r="J239" s="100"/>
      <c r="K239" s="100"/>
      <c r="L239" s="101"/>
      <c r="M239" s="102"/>
      <c r="N239" s="103"/>
      <c r="O239" s="103"/>
      <c r="P239" s="103"/>
      <c r="Q239" s="103"/>
      <c r="R239" s="103"/>
      <c r="S239" s="103"/>
      <c r="T239" s="103"/>
      <c r="U239" s="104">
        <f t="shared" si="60"/>
        <v>0</v>
      </c>
      <c r="V239" s="100"/>
      <c r="W239" s="101"/>
    </row>
    <row r="240" spans="2:23" ht="18" customHeight="1" x14ac:dyDescent="0.4">
      <c r="B240" s="102"/>
      <c r="C240" s="103"/>
      <c r="D240" s="103"/>
      <c r="E240" s="103"/>
      <c r="F240" s="103"/>
      <c r="G240" s="103"/>
      <c r="H240" s="103"/>
      <c r="I240" s="103"/>
      <c r="J240" s="100"/>
      <c r="K240" s="100"/>
      <c r="L240" s="101"/>
      <c r="M240" s="102"/>
      <c r="N240" s="103"/>
      <c r="O240" s="103"/>
      <c r="P240" s="103"/>
      <c r="Q240" s="103"/>
      <c r="R240" s="103"/>
      <c r="S240" s="103"/>
      <c r="T240" s="103"/>
      <c r="U240" s="104">
        <f t="shared" si="60"/>
        <v>0</v>
      </c>
      <c r="V240" s="100"/>
      <c r="W240" s="101"/>
    </row>
    <row r="241" spans="2:23" ht="18" customHeight="1" x14ac:dyDescent="0.4">
      <c r="B241" s="102"/>
      <c r="C241" s="103"/>
      <c r="D241" s="103"/>
      <c r="E241" s="103"/>
      <c r="F241" s="103"/>
      <c r="G241" s="103"/>
      <c r="H241" s="103"/>
      <c r="I241" s="103"/>
      <c r="J241" s="100"/>
      <c r="K241" s="100"/>
      <c r="L241" s="101"/>
      <c r="M241" s="102"/>
      <c r="N241" s="103"/>
      <c r="O241" s="103"/>
      <c r="P241" s="103"/>
      <c r="Q241" s="103"/>
      <c r="R241" s="103"/>
      <c r="S241" s="103"/>
      <c r="T241" s="103"/>
      <c r="U241" s="104">
        <f t="shared" si="60"/>
        <v>0</v>
      </c>
      <c r="V241" s="100"/>
      <c r="W241" s="101"/>
    </row>
    <row r="242" spans="2:23" ht="18" customHeight="1" x14ac:dyDescent="0.4">
      <c r="B242" s="102"/>
      <c r="C242" s="103"/>
      <c r="D242" s="103"/>
      <c r="E242" s="103"/>
      <c r="F242" s="103"/>
      <c r="G242" s="103"/>
      <c r="H242" s="103"/>
      <c r="I242" s="103"/>
      <c r="J242" s="100"/>
      <c r="K242" s="100"/>
      <c r="L242" s="101"/>
      <c r="M242" s="102"/>
      <c r="N242" s="103"/>
      <c r="O242" s="103"/>
      <c r="P242" s="103"/>
      <c r="Q242" s="103"/>
      <c r="R242" s="103"/>
      <c r="S242" s="103"/>
      <c r="T242" s="103"/>
      <c r="U242" s="104">
        <f t="shared" si="60"/>
        <v>0</v>
      </c>
      <c r="V242" s="100"/>
      <c r="W242" s="101"/>
    </row>
    <row r="243" spans="2:23" ht="18" customHeight="1" x14ac:dyDescent="0.4">
      <c r="B243" s="102"/>
      <c r="C243" s="103"/>
      <c r="D243" s="103"/>
      <c r="E243" s="103"/>
      <c r="F243" s="103"/>
      <c r="G243" s="103"/>
      <c r="H243" s="103"/>
      <c r="I243" s="103"/>
      <c r="J243" s="100"/>
      <c r="K243" s="100"/>
      <c r="L243" s="101"/>
      <c r="M243" s="102"/>
      <c r="N243" s="103"/>
      <c r="O243" s="103"/>
      <c r="P243" s="103"/>
      <c r="Q243" s="103"/>
      <c r="R243" s="103"/>
      <c r="S243" s="103"/>
      <c r="T243" s="103"/>
      <c r="U243" s="104">
        <f t="shared" si="60"/>
        <v>0</v>
      </c>
      <c r="V243" s="100"/>
      <c r="W243" s="101"/>
    </row>
    <row r="244" spans="2:23" ht="18" customHeight="1" x14ac:dyDescent="0.4">
      <c r="B244" s="102"/>
      <c r="C244" s="103"/>
      <c r="D244" s="103"/>
      <c r="E244" s="103"/>
      <c r="F244" s="103"/>
      <c r="G244" s="103"/>
      <c r="H244" s="103"/>
      <c r="I244" s="103"/>
      <c r="J244" s="100"/>
      <c r="K244" s="100"/>
      <c r="L244" s="101"/>
      <c r="M244" s="102"/>
      <c r="N244" s="103"/>
      <c r="O244" s="103"/>
      <c r="P244" s="103"/>
      <c r="Q244" s="103"/>
      <c r="R244" s="103"/>
      <c r="S244" s="103"/>
      <c r="T244" s="103"/>
      <c r="U244" s="104">
        <f t="shared" si="60"/>
        <v>0</v>
      </c>
      <c r="V244" s="100"/>
      <c r="W244" s="101"/>
    </row>
    <row r="245" spans="2:23" ht="18" customHeight="1" x14ac:dyDescent="0.4">
      <c r="B245" s="102"/>
      <c r="C245" s="103"/>
      <c r="D245" s="103"/>
      <c r="E245" s="103"/>
      <c r="F245" s="103"/>
      <c r="G245" s="103"/>
      <c r="H245" s="103"/>
      <c r="I245" s="103"/>
      <c r="J245" s="100"/>
      <c r="K245" s="100"/>
      <c r="L245" s="101"/>
      <c r="M245" s="102"/>
      <c r="N245" s="103"/>
      <c r="O245" s="103"/>
      <c r="P245" s="103"/>
      <c r="Q245" s="103"/>
      <c r="R245" s="103"/>
      <c r="S245" s="103"/>
      <c r="T245" s="103"/>
      <c r="U245" s="104">
        <f t="shared" si="60"/>
        <v>0</v>
      </c>
      <c r="V245" s="100"/>
      <c r="W245" s="101"/>
    </row>
    <row r="246" spans="2:23" ht="18" customHeight="1" x14ac:dyDescent="0.4">
      <c r="B246" s="109"/>
      <c r="C246" s="110"/>
      <c r="D246" s="110"/>
      <c r="E246" s="110"/>
      <c r="F246" s="110"/>
      <c r="G246" s="110"/>
      <c r="H246" s="110"/>
      <c r="I246" s="110"/>
      <c r="J246" s="107"/>
      <c r="K246" s="107"/>
      <c r="L246" s="108"/>
      <c r="M246" s="109"/>
      <c r="N246" s="110"/>
      <c r="O246" s="110"/>
      <c r="P246" s="110"/>
      <c r="Q246" s="110"/>
      <c r="R246" s="110"/>
      <c r="S246" s="110"/>
      <c r="T246" s="110"/>
      <c r="U246" s="111">
        <f t="shared" si="60"/>
        <v>0</v>
      </c>
      <c r="V246" s="107"/>
      <c r="W246" s="108"/>
    </row>
    <row r="247" spans="2:23" ht="18" customHeight="1" x14ac:dyDescent="0.4">
      <c r="B247" s="86"/>
      <c r="C247" s="87"/>
      <c r="D247" s="87"/>
      <c r="E247" s="87"/>
      <c r="F247" s="87"/>
      <c r="G247" s="87"/>
      <c r="H247" s="87"/>
      <c r="I247" s="87"/>
      <c r="J247" s="88" t="s">
        <v>105</v>
      </c>
      <c r="K247" s="87"/>
      <c r="L247" s="89"/>
      <c r="M247" s="90">
        <f>B247</f>
        <v>0</v>
      </c>
      <c r="N247" s="87"/>
      <c r="O247" s="87"/>
      <c r="P247" s="87"/>
      <c r="Q247" s="87"/>
      <c r="R247" s="87"/>
      <c r="S247" s="87"/>
      <c r="T247" s="87"/>
      <c r="U247" s="88" t="s">
        <v>105</v>
      </c>
      <c r="V247" s="87"/>
      <c r="W247" s="89"/>
    </row>
    <row r="248" spans="2:23" ht="18" customHeight="1" x14ac:dyDescent="0.4">
      <c r="B248" s="95"/>
      <c r="C248" s="96"/>
      <c r="D248" s="96"/>
      <c r="E248" s="96"/>
      <c r="F248" s="96"/>
      <c r="G248" s="96"/>
      <c r="H248" s="96"/>
      <c r="I248" s="96"/>
      <c r="J248" s="93"/>
      <c r="K248" s="93"/>
      <c r="L248" s="94"/>
      <c r="M248" s="95"/>
      <c r="N248" s="96"/>
      <c r="O248" s="96"/>
      <c r="P248" s="96"/>
      <c r="Q248" s="96"/>
      <c r="R248" s="96"/>
      <c r="S248" s="96"/>
      <c r="T248" s="96"/>
      <c r="U248" s="97">
        <f t="shared" ref="U248:U257" si="61">J248</f>
        <v>0</v>
      </c>
      <c r="V248" s="93"/>
      <c r="W248" s="94"/>
    </row>
    <row r="249" spans="2:23" ht="18" customHeight="1" x14ac:dyDescent="0.4">
      <c r="B249" s="102"/>
      <c r="C249" s="103"/>
      <c r="D249" s="103"/>
      <c r="E249" s="103"/>
      <c r="F249" s="103"/>
      <c r="G249" s="103"/>
      <c r="H249" s="103"/>
      <c r="I249" s="103"/>
      <c r="J249" s="100"/>
      <c r="K249" s="100"/>
      <c r="L249" s="101"/>
      <c r="M249" s="102"/>
      <c r="N249" s="103"/>
      <c r="O249" s="103"/>
      <c r="P249" s="103"/>
      <c r="Q249" s="103"/>
      <c r="R249" s="103"/>
      <c r="S249" s="103"/>
      <c r="T249" s="103"/>
      <c r="U249" s="104">
        <f t="shared" si="61"/>
        <v>0</v>
      </c>
      <c r="V249" s="100"/>
      <c r="W249" s="101"/>
    </row>
    <row r="250" spans="2:23" ht="18" customHeight="1" x14ac:dyDescent="0.4">
      <c r="B250" s="102"/>
      <c r="C250" s="103"/>
      <c r="D250" s="103"/>
      <c r="E250" s="103"/>
      <c r="F250" s="103"/>
      <c r="G250" s="103"/>
      <c r="H250" s="103"/>
      <c r="I250" s="103"/>
      <c r="J250" s="100"/>
      <c r="K250" s="100"/>
      <c r="L250" s="101"/>
      <c r="M250" s="102"/>
      <c r="N250" s="103"/>
      <c r="O250" s="103"/>
      <c r="P250" s="103"/>
      <c r="Q250" s="103"/>
      <c r="R250" s="103"/>
      <c r="S250" s="103"/>
      <c r="T250" s="103"/>
      <c r="U250" s="104">
        <f t="shared" si="61"/>
        <v>0</v>
      </c>
      <c r="V250" s="100"/>
      <c r="W250" s="101"/>
    </row>
    <row r="251" spans="2:23" ht="18" customHeight="1" x14ac:dyDescent="0.4">
      <c r="B251" s="102"/>
      <c r="C251" s="103"/>
      <c r="D251" s="103"/>
      <c r="E251" s="103"/>
      <c r="F251" s="103"/>
      <c r="G251" s="103"/>
      <c r="H251" s="103"/>
      <c r="I251" s="103"/>
      <c r="J251" s="100"/>
      <c r="K251" s="100"/>
      <c r="L251" s="101"/>
      <c r="M251" s="102"/>
      <c r="N251" s="103"/>
      <c r="O251" s="103"/>
      <c r="P251" s="103"/>
      <c r="Q251" s="103"/>
      <c r="R251" s="103"/>
      <c r="S251" s="103"/>
      <c r="T251" s="103"/>
      <c r="U251" s="104">
        <f t="shared" si="61"/>
        <v>0</v>
      </c>
      <c r="V251" s="100"/>
      <c r="W251" s="101"/>
    </row>
    <row r="252" spans="2:23" ht="18" customHeight="1" x14ac:dyDescent="0.4">
      <c r="B252" s="102"/>
      <c r="C252" s="103"/>
      <c r="D252" s="103"/>
      <c r="E252" s="103"/>
      <c r="F252" s="103"/>
      <c r="G252" s="103"/>
      <c r="H252" s="103"/>
      <c r="I252" s="103"/>
      <c r="J252" s="100"/>
      <c r="K252" s="100"/>
      <c r="L252" s="101"/>
      <c r="M252" s="102"/>
      <c r="N252" s="103"/>
      <c r="O252" s="103"/>
      <c r="P252" s="103"/>
      <c r="Q252" s="103"/>
      <c r="R252" s="103"/>
      <c r="S252" s="103"/>
      <c r="T252" s="103"/>
      <c r="U252" s="104">
        <f t="shared" si="61"/>
        <v>0</v>
      </c>
      <c r="V252" s="100"/>
      <c r="W252" s="101"/>
    </row>
    <row r="253" spans="2:23" ht="18" customHeight="1" x14ac:dyDescent="0.4">
      <c r="B253" s="102"/>
      <c r="C253" s="103"/>
      <c r="D253" s="103"/>
      <c r="E253" s="103"/>
      <c r="F253" s="103"/>
      <c r="G253" s="103"/>
      <c r="H253" s="103"/>
      <c r="I253" s="103"/>
      <c r="J253" s="100"/>
      <c r="K253" s="100"/>
      <c r="L253" s="101"/>
      <c r="M253" s="102"/>
      <c r="N253" s="103"/>
      <c r="O253" s="103"/>
      <c r="P253" s="103"/>
      <c r="Q253" s="103"/>
      <c r="R253" s="103"/>
      <c r="S253" s="103"/>
      <c r="T253" s="103"/>
      <c r="U253" s="104">
        <f t="shared" si="61"/>
        <v>0</v>
      </c>
      <c r="V253" s="100"/>
      <c r="W253" s="101"/>
    </row>
    <row r="254" spans="2:23" ht="18" customHeight="1" x14ac:dyDescent="0.4">
      <c r="B254" s="102"/>
      <c r="C254" s="103"/>
      <c r="D254" s="103"/>
      <c r="E254" s="103"/>
      <c r="F254" s="103"/>
      <c r="G254" s="103"/>
      <c r="H254" s="103"/>
      <c r="I254" s="103"/>
      <c r="J254" s="100"/>
      <c r="K254" s="100"/>
      <c r="L254" s="101"/>
      <c r="M254" s="102"/>
      <c r="N254" s="103"/>
      <c r="O254" s="103"/>
      <c r="P254" s="103"/>
      <c r="Q254" s="103"/>
      <c r="R254" s="103"/>
      <c r="S254" s="103"/>
      <c r="T254" s="103"/>
      <c r="U254" s="104">
        <f t="shared" si="61"/>
        <v>0</v>
      </c>
      <c r="V254" s="100"/>
      <c r="W254" s="101"/>
    </row>
    <row r="255" spans="2:23" ht="18" customHeight="1" x14ac:dyDescent="0.4">
      <c r="B255" s="102"/>
      <c r="C255" s="103"/>
      <c r="D255" s="103"/>
      <c r="E255" s="103"/>
      <c r="F255" s="103"/>
      <c r="G255" s="103"/>
      <c r="H255" s="103"/>
      <c r="I255" s="103"/>
      <c r="J255" s="100"/>
      <c r="K255" s="100"/>
      <c r="L255" s="101"/>
      <c r="M255" s="102"/>
      <c r="N255" s="103"/>
      <c r="O255" s="103"/>
      <c r="P255" s="103"/>
      <c r="Q255" s="103"/>
      <c r="R255" s="103"/>
      <c r="S255" s="103"/>
      <c r="T255" s="103"/>
      <c r="U255" s="104">
        <f t="shared" si="61"/>
        <v>0</v>
      </c>
      <c r="V255" s="100"/>
      <c r="W255" s="101"/>
    </row>
    <row r="256" spans="2:23" ht="18" customHeight="1" x14ac:dyDescent="0.4">
      <c r="B256" s="102"/>
      <c r="C256" s="103"/>
      <c r="D256" s="103"/>
      <c r="E256" s="103"/>
      <c r="F256" s="103"/>
      <c r="G256" s="103"/>
      <c r="H256" s="103"/>
      <c r="I256" s="103"/>
      <c r="J256" s="100"/>
      <c r="K256" s="100"/>
      <c r="L256" s="101"/>
      <c r="M256" s="102"/>
      <c r="N256" s="103"/>
      <c r="O256" s="103"/>
      <c r="P256" s="103"/>
      <c r="Q256" s="103"/>
      <c r="R256" s="103"/>
      <c r="S256" s="103"/>
      <c r="T256" s="103"/>
      <c r="U256" s="104">
        <f t="shared" si="61"/>
        <v>0</v>
      </c>
      <c r="V256" s="100"/>
      <c r="W256" s="101"/>
    </row>
    <row r="257" spans="2:23" ht="18" customHeight="1" x14ac:dyDescent="0.4">
      <c r="B257" s="109"/>
      <c r="C257" s="110"/>
      <c r="D257" s="110"/>
      <c r="E257" s="110"/>
      <c r="F257" s="110"/>
      <c r="G257" s="110"/>
      <c r="H257" s="110"/>
      <c r="I257" s="110"/>
      <c r="J257" s="107"/>
      <c r="K257" s="107"/>
      <c r="L257" s="108"/>
      <c r="M257" s="109"/>
      <c r="N257" s="110"/>
      <c r="O257" s="110"/>
      <c r="P257" s="110"/>
      <c r="Q257" s="110"/>
      <c r="R257" s="110"/>
      <c r="S257" s="110"/>
      <c r="T257" s="110"/>
      <c r="U257" s="111">
        <f t="shared" si="61"/>
        <v>0</v>
      </c>
      <c r="V257" s="107"/>
      <c r="W257" s="108"/>
    </row>
  </sheetData>
  <mergeCells count="40">
    <mergeCell ref="B248:I257"/>
    <mergeCell ref="M248:T257"/>
    <mergeCell ref="B215:I224"/>
    <mergeCell ref="M215:T224"/>
    <mergeCell ref="B226:I235"/>
    <mergeCell ref="M226:T235"/>
    <mergeCell ref="B237:I246"/>
    <mergeCell ref="M237:T246"/>
    <mergeCell ref="B182:I191"/>
    <mergeCell ref="M182:T191"/>
    <mergeCell ref="B193:I202"/>
    <mergeCell ref="M193:T202"/>
    <mergeCell ref="B204:I213"/>
    <mergeCell ref="M204:T213"/>
    <mergeCell ref="M127:T136"/>
    <mergeCell ref="M138:T147"/>
    <mergeCell ref="M149:T158"/>
    <mergeCell ref="B160:I169"/>
    <mergeCell ref="M160:T169"/>
    <mergeCell ref="B171:I180"/>
    <mergeCell ref="M171:T180"/>
    <mergeCell ref="R11:R12"/>
    <mergeCell ref="S11:T11"/>
    <mergeCell ref="H12:I12"/>
    <mergeCell ref="S12:T12"/>
    <mergeCell ref="M105:T114"/>
    <mergeCell ref="M116:T125"/>
    <mergeCell ref="B11:B12"/>
    <mergeCell ref="C11:F12"/>
    <mergeCell ref="G11:G12"/>
    <mergeCell ref="H11:I11"/>
    <mergeCell ref="M11:M12"/>
    <mergeCell ref="N11:Q12"/>
    <mergeCell ref="M2:W2"/>
    <mergeCell ref="C3:F3"/>
    <mergeCell ref="N3:Q3"/>
    <mergeCell ref="C4:F4"/>
    <mergeCell ref="N4:Q4"/>
    <mergeCell ref="B8:B9"/>
    <mergeCell ref="M8:M9"/>
  </mergeCells>
  <phoneticPr fontId="1"/>
  <pageMargins left="0.19685039370078741" right="0.19685039370078741" top="0.59055118110236227" bottom="0.19685039370078741" header="0.31496062992125984" footer="0.31496062992125984"/>
  <pageSetup paperSize="9" scale="99" orientation="portrait" r:id="rId1"/>
  <colBreaks count="1" manualBreakCount="1">
    <brk id="12" min="1" max="8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9CE9-DBD1-4275-8CD5-396F7D73FABB}">
  <dimension ref="B1:W255"/>
  <sheetViews>
    <sheetView showZeros="0" view="pageBreakPreview" zoomScale="80" zoomScaleNormal="100" zoomScaleSheetLayoutView="80" workbookViewId="0">
      <selection activeCell="M2" sqref="M2:W2"/>
    </sheetView>
  </sheetViews>
  <sheetFormatPr defaultRowHeight="18.75" outlineLevelCol="1" x14ac:dyDescent="0.4"/>
  <cols>
    <col min="1" max="1" width="2.875" customWidth="1"/>
    <col min="2" max="2" width="6.5" customWidth="1"/>
    <col min="3" max="3" width="8.625" customWidth="1"/>
    <col min="4" max="4" width="10" customWidth="1"/>
    <col min="5" max="7" width="8.25" customWidth="1"/>
    <col min="8" max="8" width="6.25" customWidth="1"/>
    <col min="9" max="9" width="5" customWidth="1"/>
    <col min="10" max="10" width="7.875" customWidth="1"/>
    <col min="11" max="11" width="9.75" customWidth="1"/>
    <col min="12" max="12" width="14.25" customWidth="1"/>
    <col min="13" max="13" width="6.5" customWidth="1" outlineLevel="1"/>
    <col min="14" max="14" width="8.625" customWidth="1" outlineLevel="1"/>
    <col min="15" max="15" width="10" customWidth="1" outlineLevel="1"/>
    <col min="16" max="18" width="8.25" customWidth="1" outlineLevel="1"/>
    <col min="19" max="19" width="6.25" customWidth="1" outlineLevel="1"/>
    <col min="20" max="20" width="5" customWidth="1" outlineLevel="1"/>
    <col min="21" max="21" width="7.875" customWidth="1" outlineLevel="1"/>
    <col min="22" max="22" width="9.75" customWidth="1" outlineLevel="1"/>
    <col min="23" max="23" width="13.5" customWidth="1" outlineLevel="1"/>
  </cols>
  <sheetData>
    <row r="1" spans="2:23" x14ac:dyDescent="0.4">
      <c r="F1" t="s">
        <v>0</v>
      </c>
      <c r="G1" s="1">
        <v>1</v>
      </c>
      <c r="I1" s="2" t="s">
        <v>1</v>
      </c>
      <c r="J1" s="1">
        <v>0.15</v>
      </c>
      <c r="K1" s="3">
        <v>1.5</v>
      </c>
      <c r="L1" s="4">
        <f>N11-C11</f>
        <v>1073600</v>
      </c>
      <c r="W1" s="5"/>
    </row>
    <row r="2" spans="2:23" ht="35.25" x14ac:dyDescent="0.4">
      <c r="B2" s="157" t="s">
        <v>146</v>
      </c>
      <c r="C2" s="157"/>
      <c r="D2" s="157"/>
      <c r="E2" s="158"/>
      <c r="F2" s="159" t="s">
        <v>139</v>
      </c>
      <c r="G2" s="159"/>
      <c r="H2" s="159"/>
      <c r="I2" s="159"/>
      <c r="J2" s="159"/>
      <c r="K2" s="159" t="s">
        <v>140</v>
      </c>
      <c r="L2" s="159"/>
      <c r="M2" s="6" t="s">
        <v>172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 spans="2:23" ht="23.25" customHeight="1" x14ac:dyDescent="0.4">
      <c r="B3" s="7" t="s">
        <v>138</v>
      </c>
      <c r="C3" s="8"/>
      <c r="D3" s="8"/>
      <c r="E3" s="8"/>
      <c r="F3" s="8"/>
      <c r="G3" s="9" t="s">
        <v>2</v>
      </c>
      <c r="J3" s="10"/>
      <c r="K3" s="11" t="s">
        <v>3</v>
      </c>
      <c r="L3" s="12"/>
      <c r="M3" s="7" t="s">
        <v>4</v>
      </c>
      <c r="N3" s="13"/>
      <c r="O3" s="13"/>
      <c r="P3" s="13"/>
      <c r="Q3" s="13"/>
      <c r="R3" s="9" t="s">
        <v>2</v>
      </c>
      <c r="U3" s="10"/>
      <c r="V3" s="11" t="str">
        <f>K3</f>
        <v>顧客番号</v>
      </c>
      <c r="W3" s="14">
        <f>L3</f>
        <v>0</v>
      </c>
    </row>
    <row r="4" spans="2:23" ht="21" customHeight="1" x14ac:dyDescent="0.4">
      <c r="B4" s="15" t="s">
        <v>5</v>
      </c>
      <c r="C4" s="16"/>
      <c r="D4" s="16"/>
      <c r="E4" s="16"/>
      <c r="F4" s="16"/>
      <c r="G4" s="17" t="s">
        <v>6</v>
      </c>
      <c r="J4" s="10"/>
      <c r="K4" s="18" t="s">
        <v>7</v>
      </c>
      <c r="L4" s="19"/>
      <c r="M4" s="15" t="s">
        <v>5</v>
      </c>
      <c r="N4" s="16"/>
      <c r="O4" s="16"/>
      <c r="P4" s="16"/>
      <c r="Q4" s="16"/>
      <c r="R4" s="17" t="s">
        <v>6</v>
      </c>
      <c r="U4" s="10"/>
      <c r="V4" s="11" t="s">
        <v>8</v>
      </c>
      <c r="W4" s="19">
        <f ca="1">TODAY()</f>
        <v>46255</v>
      </c>
    </row>
    <row r="5" spans="2:23" ht="21" customHeight="1" x14ac:dyDescent="0.4">
      <c r="B5" s="20" t="s">
        <v>9</v>
      </c>
      <c r="C5" s="21"/>
      <c r="D5" s="21"/>
      <c r="E5" s="21"/>
      <c r="F5" s="21"/>
      <c r="G5" s="21"/>
      <c r="H5" s="21"/>
      <c r="I5" s="21"/>
      <c r="J5" s="22"/>
      <c r="K5" s="23" t="s">
        <v>10</v>
      </c>
      <c r="L5" s="20"/>
      <c r="M5" s="20" t="s">
        <v>11</v>
      </c>
      <c r="N5" s="21"/>
      <c r="O5" s="21"/>
      <c r="P5" s="21"/>
      <c r="Q5" s="21"/>
      <c r="R5" s="21"/>
      <c r="S5" s="21"/>
      <c r="T5" s="21"/>
      <c r="U5" s="24"/>
      <c r="V5" s="25" t="str">
        <f>K5</f>
        <v>受注契約日</v>
      </c>
      <c r="W5" s="26">
        <f ca="1">W4</f>
        <v>46255</v>
      </c>
    </row>
    <row r="6" spans="2:23" ht="21" customHeight="1" x14ac:dyDescent="0.4">
      <c r="B6" s="27" t="s">
        <v>141</v>
      </c>
      <c r="C6" s="28" t="s">
        <v>141</v>
      </c>
      <c r="D6" s="29"/>
      <c r="E6" s="29"/>
      <c r="F6" s="28" t="s">
        <v>6</v>
      </c>
      <c r="G6" s="31" t="s">
        <v>142</v>
      </c>
      <c r="H6" s="31"/>
      <c r="I6" s="31"/>
      <c r="J6" s="32"/>
      <c r="K6" s="30" t="s">
        <v>143</v>
      </c>
      <c r="L6" s="30"/>
      <c r="M6" s="33" t="s">
        <v>12</v>
      </c>
      <c r="N6" s="28" t="str">
        <f>C6</f>
        <v>氏名</v>
      </c>
      <c r="O6" s="29"/>
      <c r="P6" s="29"/>
      <c r="Q6" s="29"/>
      <c r="R6" s="29"/>
      <c r="S6" s="31"/>
      <c r="T6" s="31">
        <f>I6</f>
        <v>0</v>
      </c>
      <c r="U6" s="32">
        <f>J6</f>
        <v>0</v>
      </c>
      <c r="V6" s="30"/>
      <c r="W6" s="30"/>
    </row>
    <row r="7" spans="2:23" ht="21" customHeight="1" x14ac:dyDescent="0.4">
      <c r="B7" s="34" t="s">
        <v>13</v>
      </c>
      <c r="C7" s="35" t="s">
        <v>14</v>
      </c>
      <c r="D7" s="36"/>
      <c r="E7" s="36"/>
      <c r="F7" s="36"/>
      <c r="G7" s="36"/>
      <c r="J7" s="37" t="s">
        <v>15</v>
      </c>
      <c r="M7" s="38" t="s">
        <v>16</v>
      </c>
      <c r="N7" s="35" t="s">
        <v>17</v>
      </c>
      <c r="O7" s="36"/>
      <c r="P7" s="36"/>
      <c r="Q7" s="36"/>
      <c r="R7" s="36"/>
      <c r="U7" s="37" t="s">
        <v>18</v>
      </c>
    </row>
    <row r="8" spans="2:23" ht="21" customHeight="1" x14ac:dyDescent="0.4">
      <c r="B8" s="39" t="s">
        <v>19</v>
      </c>
      <c r="C8" s="40" t="s">
        <v>20</v>
      </c>
      <c r="D8" s="40" t="s">
        <v>21</v>
      </c>
      <c r="E8" s="40"/>
      <c r="F8" s="40"/>
      <c r="G8" s="40"/>
      <c r="M8" s="41" t="s">
        <v>19</v>
      </c>
      <c r="N8" s="40" t="s">
        <v>20</v>
      </c>
      <c r="O8" s="40"/>
      <c r="P8" s="40"/>
      <c r="Q8" s="40"/>
      <c r="R8" s="40"/>
    </row>
    <row r="9" spans="2:23" ht="21" customHeight="1" x14ac:dyDescent="0.4">
      <c r="B9" s="42"/>
      <c r="C9" s="40" t="s">
        <v>22</v>
      </c>
      <c r="D9" s="40" t="s">
        <v>23</v>
      </c>
      <c r="E9" s="40"/>
      <c r="F9" s="40"/>
      <c r="G9" s="40"/>
      <c r="M9" s="43"/>
      <c r="N9" s="40" t="s">
        <v>22</v>
      </c>
      <c r="O9" s="40"/>
      <c r="P9" s="40"/>
      <c r="Q9" s="40"/>
      <c r="R9" s="40"/>
    </row>
    <row r="10" spans="2:23" ht="6.75" customHeight="1" x14ac:dyDescent="0.4">
      <c r="B10" s="44"/>
      <c r="M10" s="44"/>
    </row>
    <row r="11" spans="2:23" ht="21" customHeight="1" x14ac:dyDescent="0.4">
      <c r="B11" s="45" t="s">
        <v>24</v>
      </c>
      <c r="C11" s="46">
        <f>K79</f>
        <v>2525600</v>
      </c>
      <c r="D11" s="47"/>
      <c r="E11" s="47"/>
      <c r="F11" s="47"/>
      <c r="G11" s="48" t="s">
        <v>25</v>
      </c>
      <c r="H11" s="49"/>
      <c r="I11" s="50"/>
      <c r="M11" s="51" t="s">
        <v>24</v>
      </c>
      <c r="N11" s="46">
        <f>V79</f>
        <v>3599200</v>
      </c>
      <c r="O11" s="47"/>
      <c r="P11" s="47"/>
      <c r="Q11" s="47"/>
      <c r="R11" s="48" t="s">
        <v>25</v>
      </c>
      <c r="S11" s="49">
        <f>H11</f>
        <v>0</v>
      </c>
      <c r="T11" s="50"/>
      <c r="U11" s="52"/>
      <c r="V11" s="53"/>
      <c r="W11" s="53"/>
    </row>
    <row r="12" spans="2:23" ht="21" customHeight="1" x14ac:dyDescent="0.4">
      <c r="B12" s="54"/>
      <c r="C12" s="55"/>
      <c r="D12" s="55"/>
      <c r="E12" s="55"/>
      <c r="F12" s="55"/>
      <c r="G12" s="56"/>
      <c r="H12" s="49"/>
      <c r="I12" s="50"/>
      <c r="M12" s="57"/>
      <c r="N12" s="55"/>
      <c r="O12" s="55"/>
      <c r="P12" s="55"/>
      <c r="Q12" s="55"/>
      <c r="R12" s="56"/>
      <c r="S12" s="49">
        <f>H12</f>
        <v>0</v>
      </c>
      <c r="T12" s="50"/>
      <c r="U12" s="53"/>
      <c r="V12" s="53"/>
      <c r="W12" s="53"/>
    </row>
    <row r="13" spans="2:23" ht="5.25" customHeight="1" x14ac:dyDescent="0.4"/>
    <row r="14" spans="2:23" x14ac:dyDescent="0.4">
      <c r="B14" s="58" t="s">
        <v>26</v>
      </c>
      <c r="C14" s="58" t="s">
        <v>27</v>
      </c>
      <c r="D14" s="58"/>
      <c r="E14" s="58"/>
      <c r="F14" s="58"/>
      <c r="G14" s="58"/>
      <c r="H14" s="58" t="s">
        <v>28</v>
      </c>
      <c r="I14" s="58" t="s">
        <v>29</v>
      </c>
      <c r="J14" s="58" t="s">
        <v>30</v>
      </c>
      <c r="K14" s="58" t="s">
        <v>31</v>
      </c>
      <c r="L14" s="58" t="s">
        <v>32</v>
      </c>
      <c r="M14" s="59" t="s">
        <v>26</v>
      </c>
      <c r="N14" s="59" t="s">
        <v>27</v>
      </c>
      <c r="O14" s="59"/>
      <c r="P14" s="59"/>
      <c r="Q14" s="59"/>
      <c r="R14" s="59"/>
      <c r="S14" s="59" t="s">
        <v>28</v>
      </c>
      <c r="T14" s="59" t="s">
        <v>29</v>
      </c>
      <c r="U14" s="59" t="s">
        <v>30</v>
      </c>
      <c r="V14" s="59" t="s">
        <v>31</v>
      </c>
      <c r="W14" s="59" t="s">
        <v>32</v>
      </c>
    </row>
    <row r="15" spans="2:23" x14ac:dyDescent="0.4">
      <c r="B15" s="60" t="s">
        <v>106</v>
      </c>
      <c r="C15" s="60" t="s">
        <v>33</v>
      </c>
      <c r="D15" s="62"/>
      <c r="E15" s="62" t="s">
        <v>34</v>
      </c>
      <c r="F15" s="62"/>
      <c r="G15" s="61"/>
      <c r="H15" s="63">
        <v>12</v>
      </c>
      <c r="I15" s="64" t="s">
        <v>35</v>
      </c>
      <c r="J15" s="65">
        <f>ROUNDDOWN($G$1*1619/3*2.5,0)</f>
        <v>1349</v>
      </c>
      <c r="K15" s="66">
        <f t="shared" ref="K15:K72" si="0">ROUNDDOWN(H15*J15,0)</f>
        <v>16188</v>
      </c>
      <c r="L15" s="61"/>
      <c r="M15" s="67" t="str">
        <f t="shared" ref="M15:N75" si="1">B15</f>
        <v>本体</v>
      </c>
      <c r="N15" s="67" t="str">
        <f>C15</f>
        <v>１．金物関係費用</v>
      </c>
      <c r="O15" s="67"/>
      <c r="P15" s="67" t="str">
        <f t="shared" ref="P15:P72" si="2">E15</f>
        <v>・単管パイプ2.5m</v>
      </c>
      <c r="Q15" s="67"/>
      <c r="R15" s="67"/>
      <c r="S15" s="63">
        <f t="shared" ref="S15:T74" si="3">H15</f>
        <v>12</v>
      </c>
      <c r="T15" s="67" t="str">
        <f t="shared" si="3"/>
        <v>本</v>
      </c>
      <c r="U15" s="65">
        <f t="shared" ref="U15:U73" si="4">ROUNDDOWN(J15*$K$1,0)</f>
        <v>2023</v>
      </c>
      <c r="V15" s="66">
        <f t="shared" ref="V15:V72" si="5">ROUNDDOWN(S15*U15,0)</f>
        <v>24276</v>
      </c>
      <c r="W15" s="67">
        <f t="shared" ref="W15:W75" si="6">L15</f>
        <v>0</v>
      </c>
    </row>
    <row r="16" spans="2:23" x14ac:dyDescent="0.4">
      <c r="B16" s="60"/>
      <c r="C16" s="61"/>
      <c r="D16" s="62"/>
      <c r="E16" s="62" t="s">
        <v>36</v>
      </c>
      <c r="F16" s="62"/>
      <c r="G16" s="61"/>
      <c r="H16" s="63">
        <f>ROUNDUP($H$15,2)</f>
        <v>12</v>
      </c>
      <c r="I16" s="64" t="s">
        <v>37</v>
      </c>
      <c r="J16" s="65">
        <f>ROUNDDOWN($G$1*188,0)</f>
        <v>188</v>
      </c>
      <c r="K16" s="66">
        <f t="shared" si="0"/>
        <v>2256</v>
      </c>
      <c r="L16" s="61"/>
      <c r="M16" s="67">
        <f t="shared" si="1"/>
        <v>0</v>
      </c>
      <c r="N16" s="67">
        <f t="shared" si="1"/>
        <v>0</v>
      </c>
      <c r="O16" s="67"/>
      <c r="P16" s="67" t="str">
        <f t="shared" si="2"/>
        <v>・タルキ止めクランプ</v>
      </c>
      <c r="Q16" s="67"/>
      <c r="R16" s="67"/>
      <c r="S16" s="63">
        <f t="shared" si="3"/>
        <v>12</v>
      </c>
      <c r="T16" s="67" t="str">
        <f t="shared" si="3"/>
        <v>個</v>
      </c>
      <c r="U16" s="65">
        <f t="shared" si="4"/>
        <v>282</v>
      </c>
      <c r="V16" s="66">
        <f t="shared" si="5"/>
        <v>3384</v>
      </c>
      <c r="W16" s="67">
        <f t="shared" si="6"/>
        <v>0</v>
      </c>
    </row>
    <row r="17" spans="2:23" x14ac:dyDescent="0.4">
      <c r="B17" s="60"/>
      <c r="C17" s="61"/>
      <c r="D17" s="62"/>
      <c r="E17" s="62" t="s">
        <v>38</v>
      </c>
      <c r="F17" s="62"/>
      <c r="G17" s="61"/>
      <c r="H17" s="63">
        <f>ROUNDUP($H$15,2)</f>
        <v>12</v>
      </c>
      <c r="I17" s="64" t="s">
        <v>35</v>
      </c>
      <c r="J17" s="65">
        <f>ROUNDDOWN($G$1*1850,0)</f>
        <v>1850</v>
      </c>
      <c r="K17" s="66">
        <f t="shared" si="0"/>
        <v>22200</v>
      </c>
      <c r="L17" s="61"/>
      <c r="M17" s="67">
        <f t="shared" si="1"/>
        <v>0</v>
      </c>
      <c r="N17" s="67">
        <f t="shared" si="1"/>
        <v>0</v>
      </c>
      <c r="O17" s="67"/>
      <c r="P17" s="67" t="str">
        <f t="shared" si="2"/>
        <v>・ジャッキベース</v>
      </c>
      <c r="Q17" s="67"/>
      <c r="R17" s="67"/>
      <c r="S17" s="63">
        <f t="shared" si="3"/>
        <v>12</v>
      </c>
      <c r="T17" s="67" t="str">
        <f t="shared" si="3"/>
        <v>本</v>
      </c>
      <c r="U17" s="65">
        <f t="shared" si="4"/>
        <v>2775</v>
      </c>
      <c r="V17" s="66">
        <f t="shared" si="5"/>
        <v>33300</v>
      </c>
      <c r="W17" s="67">
        <f t="shared" si="6"/>
        <v>0</v>
      </c>
    </row>
    <row r="18" spans="2:23" x14ac:dyDescent="0.4">
      <c r="B18" s="60"/>
      <c r="C18" s="61"/>
      <c r="D18" s="62"/>
      <c r="E18" s="62" t="s">
        <v>39</v>
      </c>
      <c r="F18" s="62"/>
      <c r="G18" s="61"/>
      <c r="H18" s="63">
        <f>ROUNDUP($H$15,2)</f>
        <v>12</v>
      </c>
      <c r="I18" s="64" t="s">
        <v>40</v>
      </c>
      <c r="J18" s="65">
        <f>ROUNDDOWN($G$1*950,0)</f>
        <v>950</v>
      </c>
      <c r="K18" s="66">
        <f t="shared" si="0"/>
        <v>11400</v>
      </c>
      <c r="L18" s="61"/>
      <c r="M18" s="67">
        <f t="shared" si="1"/>
        <v>0</v>
      </c>
      <c r="N18" s="67">
        <f t="shared" si="1"/>
        <v>0</v>
      </c>
      <c r="O18" s="67"/>
      <c r="P18" s="67" t="str">
        <f t="shared" si="2"/>
        <v>・ジャッキベース用カバー</v>
      </c>
      <c r="Q18" s="67"/>
      <c r="R18" s="67"/>
      <c r="S18" s="63">
        <f t="shared" si="3"/>
        <v>12</v>
      </c>
      <c r="T18" s="67" t="str">
        <f t="shared" si="3"/>
        <v>枚</v>
      </c>
      <c r="U18" s="65">
        <f t="shared" si="4"/>
        <v>1425</v>
      </c>
      <c r="V18" s="66">
        <f t="shared" si="5"/>
        <v>17100</v>
      </c>
      <c r="W18" s="67">
        <f t="shared" si="6"/>
        <v>0</v>
      </c>
    </row>
    <row r="19" spans="2:23" x14ac:dyDescent="0.4">
      <c r="B19" s="60"/>
      <c r="C19" s="61"/>
      <c r="D19" s="62"/>
      <c r="E19" s="62" t="s">
        <v>41</v>
      </c>
      <c r="F19" s="62"/>
      <c r="G19" s="61"/>
      <c r="H19" s="63">
        <f>ROUNDUP($H$15,2)</f>
        <v>12</v>
      </c>
      <c r="I19" s="64" t="s">
        <v>40</v>
      </c>
      <c r="J19" s="65">
        <f>ROUNDDOWN($G$1*2180,0)</f>
        <v>2180</v>
      </c>
      <c r="K19" s="66">
        <f t="shared" si="0"/>
        <v>26160</v>
      </c>
      <c r="L19" s="61"/>
      <c r="M19" s="67">
        <f t="shared" si="1"/>
        <v>0</v>
      </c>
      <c r="N19" s="67">
        <f t="shared" si="1"/>
        <v>0</v>
      </c>
      <c r="O19" s="67"/>
      <c r="P19" s="67" t="str">
        <f t="shared" si="2"/>
        <v>・大型丁番＋ステンレス長ビス</v>
      </c>
      <c r="Q19" s="67"/>
      <c r="R19" s="67"/>
      <c r="S19" s="63">
        <f t="shared" si="3"/>
        <v>12</v>
      </c>
      <c r="T19" s="67" t="str">
        <f t="shared" si="3"/>
        <v>枚</v>
      </c>
      <c r="U19" s="65">
        <f t="shared" si="4"/>
        <v>3270</v>
      </c>
      <c r="V19" s="66">
        <f t="shared" si="5"/>
        <v>39240</v>
      </c>
      <c r="W19" s="67">
        <f t="shared" si="6"/>
        <v>0</v>
      </c>
    </row>
    <row r="20" spans="2:23" x14ac:dyDescent="0.4">
      <c r="B20" s="60"/>
      <c r="C20" s="61"/>
      <c r="D20" s="62"/>
      <c r="E20" s="62" t="s">
        <v>42</v>
      </c>
      <c r="F20" s="62"/>
      <c r="G20" s="61"/>
      <c r="H20" s="63">
        <f>ROUNDUP(4,2)</f>
        <v>4</v>
      </c>
      <c r="I20" s="64" t="s">
        <v>40</v>
      </c>
      <c r="J20" s="65">
        <f>ROUNDDOWN($G$1*510,0)</f>
        <v>510</v>
      </c>
      <c r="K20" s="66">
        <f t="shared" si="0"/>
        <v>2040</v>
      </c>
      <c r="L20" s="68"/>
      <c r="M20" s="67">
        <f t="shared" si="1"/>
        <v>0</v>
      </c>
      <c r="N20" s="67">
        <f t="shared" si="1"/>
        <v>0</v>
      </c>
      <c r="O20" s="67"/>
      <c r="P20" s="67" t="str">
        <f t="shared" si="2"/>
        <v>・床用補強金物</v>
      </c>
      <c r="Q20" s="67"/>
      <c r="R20" s="67"/>
      <c r="S20" s="63">
        <f t="shared" si="3"/>
        <v>4</v>
      </c>
      <c r="T20" s="67" t="str">
        <f t="shared" si="3"/>
        <v>枚</v>
      </c>
      <c r="U20" s="65">
        <f t="shared" si="4"/>
        <v>765</v>
      </c>
      <c r="V20" s="66">
        <f t="shared" si="5"/>
        <v>3060</v>
      </c>
      <c r="W20" s="67">
        <f t="shared" si="6"/>
        <v>0</v>
      </c>
    </row>
    <row r="21" spans="2:23" x14ac:dyDescent="0.4">
      <c r="B21" s="60"/>
      <c r="C21" s="61"/>
      <c r="D21" s="62"/>
      <c r="E21" s="62" t="s">
        <v>43</v>
      </c>
      <c r="F21" s="62"/>
      <c r="G21" s="61"/>
      <c r="H21" s="63">
        <f>ROUNDUP(4,2)</f>
        <v>4</v>
      </c>
      <c r="I21" s="64" t="s">
        <v>40</v>
      </c>
      <c r="J21" s="65">
        <f>ROUNDDOWN($G$1*510,0)</f>
        <v>510</v>
      </c>
      <c r="K21" s="66">
        <f t="shared" si="0"/>
        <v>2040</v>
      </c>
      <c r="L21" s="68">
        <f>SUM(K15:K21)</f>
        <v>82284</v>
      </c>
      <c r="M21" s="67">
        <f t="shared" si="1"/>
        <v>0</v>
      </c>
      <c r="N21" s="67">
        <f t="shared" si="1"/>
        <v>0</v>
      </c>
      <c r="O21" s="67"/>
      <c r="P21" s="67" t="str">
        <f t="shared" si="2"/>
        <v>・その他の金物</v>
      </c>
      <c r="Q21" s="67"/>
      <c r="R21" s="67"/>
      <c r="S21" s="63">
        <f t="shared" si="3"/>
        <v>4</v>
      </c>
      <c r="T21" s="67" t="str">
        <f t="shared" si="3"/>
        <v>枚</v>
      </c>
      <c r="U21" s="65">
        <f t="shared" si="4"/>
        <v>765</v>
      </c>
      <c r="V21" s="66">
        <f t="shared" si="5"/>
        <v>3060</v>
      </c>
      <c r="W21" s="67">
        <f t="shared" si="6"/>
        <v>82284</v>
      </c>
    </row>
    <row r="22" spans="2:23" s="122" customFormat="1" x14ac:dyDescent="0.4">
      <c r="B22" s="112" t="s">
        <v>106</v>
      </c>
      <c r="C22" s="112" t="s">
        <v>107</v>
      </c>
      <c r="D22" s="113"/>
      <c r="E22" s="113" t="s">
        <v>44</v>
      </c>
      <c r="F22" s="113"/>
      <c r="G22" s="114"/>
      <c r="H22" s="115">
        <f>ROUNDUP(23*2,2)</f>
        <v>46</v>
      </c>
      <c r="I22" s="116" t="s">
        <v>35</v>
      </c>
      <c r="J22" s="117">
        <f>ROUNDDOWN($G$1*635,0)</f>
        <v>635</v>
      </c>
      <c r="K22" s="118">
        <f t="shared" si="0"/>
        <v>29210</v>
      </c>
      <c r="L22" s="114" t="s">
        <v>45</v>
      </c>
      <c r="M22" s="119" t="str">
        <f t="shared" si="1"/>
        <v>本体</v>
      </c>
      <c r="N22" s="67" t="str">
        <f t="shared" si="1"/>
        <v>２．プレカット</v>
      </c>
      <c r="O22" s="119"/>
      <c r="P22" s="119" t="str">
        <f t="shared" si="2"/>
        <v>・204材L=6f</v>
      </c>
      <c r="Q22" s="119"/>
      <c r="R22" s="119"/>
      <c r="S22" s="115">
        <f t="shared" si="3"/>
        <v>46</v>
      </c>
      <c r="T22" s="119" t="str">
        <f t="shared" si="3"/>
        <v>本</v>
      </c>
      <c r="U22" s="117">
        <f t="shared" si="4"/>
        <v>952</v>
      </c>
      <c r="V22" s="118">
        <f t="shared" si="5"/>
        <v>43792</v>
      </c>
      <c r="W22" s="119" t="str">
        <f t="shared" si="6"/>
        <v>床天井根太</v>
      </c>
    </row>
    <row r="23" spans="2:23" s="122" customFormat="1" x14ac:dyDescent="0.4">
      <c r="B23" s="112"/>
      <c r="C23" s="114" t="s">
        <v>108</v>
      </c>
      <c r="D23" s="113"/>
      <c r="E23" s="113" t="s">
        <v>46</v>
      </c>
      <c r="F23" s="113"/>
      <c r="G23" s="114"/>
      <c r="H23" s="115">
        <f>ROUNDUP(58,2)</f>
        <v>58</v>
      </c>
      <c r="I23" s="116" t="s">
        <v>35</v>
      </c>
      <c r="J23" s="117">
        <f>ROUNDDOWN($G$1*635/6*8,0)</f>
        <v>846</v>
      </c>
      <c r="K23" s="118">
        <f t="shared" si="0"/>
        <v>49068</v>
      </c>
      <c r="L23" s="114" t="s">
        <v>47</v>
      </c>
      <c r="M23" s="119">
        <f t="shared" si="1"/>
        <v>0</v>
      </c>
      <c r="N23" s="67" t="str">
        <f t="shared" si="1"/>
        <v>　（木材費）</v>
      </c>
      <c r="O23" s="119"/>
      <c r="P23" s="119" t="str">
        <f t="shared" si="2"/>
        <v>・204材L=8f</v>
      </c>
      <c r="Q23" s="119"/>
      <c r="R23" s="119"/>
      <c r="S23" s="115">
        <f t="shared" si="3"/>
        <v>58</v>
      </c>
      <c r="T23" s="119" t="str">
        <f t="shared" si="3"/>
        <v>本</v>
      </c>
      <c r="U23" s="117">
        <f t="shared" si="4"/>
        <v>1269</v>
      </c>
      <c r="V23" s="118">
        <f t="shared" si="5"/>
        <v>73602</v>
      </c>
      <c r="W23" s="119" t="str">
        <f t="shared" si="6"/>
        <v>壁用</v>
      </c>
    </row>
    <row r="24" spans="2:23" s="122" customFormat="1" x14ac:dyDescent="0.4">
      <c r="B24" s="112"/>
      <c r="C24" s="114"/>
      <c r="D24" s="113"/>
      <c r="E24" s="113" t="s">
        <v>48</v>
      </c>
      <c r="F24" s="113"/>
      <c r="G24" s="114"/>
      <c r="H24" s="115">
        <f>ROUNDUP(8,2)</f>
        <v>8</v>
      </c>
      <c r="I24" s="116" t="s">
        <v>35</v>
      </c>
      <c r="J24" s="117">
        <f>ROUNDDOWN($G$1*635/6*12,0)</f>
        <v>1270</v>
      </c>
      <c r="K24" s="118">
        <f t="shared" si="0"/>
        <v>10160</v>
      </c>
      <c r="L24" s="114" t="s">
        <v>49</v>
      </c>
      <c r="M24" s="119">
        <f t="shared" si="1"/>
        <v>0</v>
      </c>
      <c r="N24" s="67">
        <f t="shared" si="1"/>
        <v>0</v>
      </c>
      <c r="O24" s="119"/>
      <c r="P24" s="119" t="str">
        <f t="shared" si="2"/>
        <v>・204材L=12f</v>
      </c>
      <c r="Q24" s="119"/>
      <c r="R24" s="119"/>
      <c r="S24" s="115">
        <f t="shared" si="3"/>
        <v>8</v>
      </c>
      <c r="T24" s="119" t="str">
        <f t="shared" si="3"/>
        <v>本</v>
      </c>
      <c r="U24" s="117">
        <f t="shared" si="4"/>
        <v>1905</v>
      </c>
      <c r="V24" s="118">
        <f t="shared" si="5"/>
        <v>15240</v>
      </c>
      <c r="W24" s="119" t="str">
        <f t="shared" si="6"/>
        <v>上下枠根太破風</v>
      </c>
    </row>
    <row r="25" spans="2:23" s="122" customFormat="1" x14ac:dyDescent="0.4">
      <c r="B25" s="112"/>
      <c r="C25" s="114"/>
      <c r="D25" s="113"/>
      <c r="E25" s="113" t="s">
        <v>50</v>
      </c>
      <c r="F25" s="113"/>
      <c r="G25" s="114"/>
      <c r="H25" s="115">
        <f>ROUNDUP(20,2)</f>
        <v>20</v>
      </c>
      <c r="I25" s="116" t="s">
        <v>35</v>
      </c>
      <c r="J25" s="117">
        <f>ROUNDDOWN($G$1*635/6*16,0)</f>
        <v>1693</v>
      </c>
      <c r="K25" s="118">
        <f t="shared" si="0"/>
        <v>33860</v>
      </c>
      <c r="L25" s="114" t="s">
        <v>51</v>
      </c>
      <c r="M25" s="119">
        <f t="shared" si="1"/>
        <v>0</v>
      </c>
      <c r="N25" s="67">
        <f t="shared" si="1"/>
        <v>0</v>
      </c>
      <c r="O25" s="119"/>
      <c r="P25" s="119" t="str">
        <f t="shared" si="2"/>
        <v>・204材L=16f</v>
      </c>
      <c r="Q25" s="119"/>
      <c r="R25" s="119"/>
      <c r="S25" s="115">
        <f t="shared" si="3"/>
        <v>20</v>
      </c>
      <c r="T25" s="119" t="str">
        <f t="shared" si="3"/>
        <v>本</v>
      </c>
      <c r="U25" s="117">
        <f t="shared" si="4"/>
        <v>2539</v>
      </c>
      <c r="V25" s="118">
        <f t="shared" si="5"/>
        <v>50780</v>
      </c>
      <c r="W25" s="119" t="str">
        <f t="shared" si="6"/>
        <v>同上</v>
      </c>
    </row>
    <row r="26" spans="2:23" s="122" customFormat="1" x14ac:dyDescent="0.4">
      <c r="B26" s="112"/>
      <c r="C26" s="114"/>
      <c r="D26" s="113"/>
      <c r="E26" s="113" t="s">
        <v>48</v>
      </c>
      <c r="F26" s="113"/>
      <c r="G26" s="114"/>
      <c r="H26" s="115">
        <f>ROUNDUP(13,2)</f>
        <v>13</v>
      </c>
      <c r="I26" s="116" t="s">
        <v>35</v>
      </c>
      <c r="J26" s="117">
        <f>ROUNDDOWN($G$1*635/6*12,0)</f>
        <v>1270</v>
      </c>
      <c r="K26" s="118">
        <f t="shared" si="0"/>
        <v>16510</v>
      </c>
      <c r="L26" s="114" t="s">
        <v>52</v>
      </c>
      <c r="M26" s="119">
        <f t="shared" si="1"/>
        <v>0</v>
      </c>
      <c r="N26" s="67">
        <f t="shared" si="1"/>
        <v>0</v>
      </c>
      <c r="O26" s="119"/>
      <c r="P26" s="119" t="str">
        <f t="shared" si="2"/>
        <v>・204材L=12f</v>
      </c>
      <c r="Q26" s="119"/>
      <c r="R26" s="119"/>
      <c r="S26" s="115">
        <f t="shared" si="3"/>
        <v>13</v>
      </c>
      <c r="T26" s="119" t="str">
        <f t="shared" si="3"/>
        <v>本</v>
      </c>
      <c r="U26" s="117">
        <f t="shared" si="4"/>
        <v>1905</v>
      </c>
      <c r="V26" s="118">
        <f t="shared" si="5"/>
        <v>24765</v>
      </c>
      <c r="W26" s="119" t="str">
        <f t="shared" si="6"/>
        <v>屋根タルキ</v>
      </c>
    </row>
    <row r="27" spans="2:23" s="122" customFormat="1" x14ac:dyDescent="0.4">
      <c r="B27" s="112"/>
      <c r="C27" s="114"/>
      <c r="D27" s="113"/>
      <c r="E27" s="113" t="s">
        <v>53</v>
      </c>
      <c r="F27" s="113"/>
      <c r="G27" s="114"/>
      <c r="H27" s="115">
        <f>ROUNDUP(12+6,2)</f>
        <v>18</v>
      </c>
      <c r="I27" s="116" t="s">
        <v>35</v>
      </c>
      <c r="J27" s="117">
        <f>ROUNDDOWN($G$1*362,0)</f>
        <v>362</v>
      </c>
      <c r="K27" s="118">
        <f>ROUNDDOWN(H27*J27,0)</f>
        <v>6516</v>
      </c>
      <c r="L27" s="121"/>
      <c r="M27" s="119">
        <f>B27</f>
        <v>0</v>
      </c>
      <c r="N27" s="67">
        <f t="shared" si="1"/>
        <v>0</v>
      </c>
      <c r="O27" s="119"/>
      <c r="P27" s="119" t="str">
        <f>E27</f>
        <v>・104材柱パイプ囲み用</v>
      </c>
      <c r="Q27" s="119"/>
      <c r="R27" s="119"/>
      <c r="S27" s="115">
        <f t="shared" si="3"/>
        <v>18</v>
      </c>
      <c r="T27" s="119" t="str">
        <f t="shared" si="3"/>
        <v>本</v>
      </c>
      <c r="U27" s="117">
        <f>ROUNDDOWN(J27*$K$1,0)</f>
        <v>543</v>
      </c>
      <c r="V27" s="118">
        <f>ROUNDDOWN(S27*U27,0)</f>
        <v>9774</v>
      </c>
      <c r="W27" s="119">
        <f>L27</f>
        <v>0</v>
      </c>
    </row>
    <row r="28" spans="2:23" s="122" customFormat="1" x14ac:dyDescent="0.4">
      <c r="B28" s="112"/>
      <c r="C28" s="114"/>
      <c r="D28" s="113"/>
      <c r="E28" s="113" t="s">
        <v>111</v>
      </c>
      <c r="F28" s="113"/>
      <c r="G28" s="114"/>
      <c r="H28" s="115">
        <v>5</v>
      </c>
      <c r="I28" s="116" t="s">
        <v>94</v>
      </c>
      <c r="J28" s="117">
        <v>25000</v>
      </c>
      <c r="K28" s="118">
        <f>ROUNDDOWN(H28*J28,0)</f>
        <v>125000</v>
      </c>
      <c r="L28" s="160">
        <f>SUM(K22:K28)</f>
        <v>270324</v>
      </c>
      <c r="M28" s="119">
        <f>B28</f>
        <v>0</v>
      </c>
      <c r="N28" s="67">
        <f t="shared" si="1"/>
        <v>0</v>
      </c>
      <c r="O28" s="119"/>
      <c r="P28" s="119" t="str">
        <f>E28</f>
        <v>・本体組立費</v>
      </c>
      <c r="Q28" s="119"/>
      <c r="R28" s="119"/>
      <c r="S28" s="115">
        <f t="shared" si="3"/>
        <v>5</v>
      </c>
      <c r="T28" s="119" t="str">
        <f t="shared" si="3"/>
        <v>人</v>
      </c>
      <c r="U28" s="117">
        <f>ROUNDDOWN(J28*$K$1,0)</f>
        <v>37500</v>
      </c>
      <c r="V28" s="118">
        <f>ROUNDDOWN(S28*U28,0)</f>
        <v>187500</v>
      </c>
      <c r="W28" s="160">
        <f>SUM(V22:V28)</f>
        <v>405453</v>
      </c>
    </row>
    <row r="29" spans="2:23" x14ac:dyDescent="0.4">
      <c r="B29" s="60" t="s">
        <v>106</v>
      </c>
      <c r="C29" s="60" t="s">
        <v>54</v>
      </c>
      <c r="D29" s="62"/>
      <c r="E29" s="62" t="s">
        <v>55</v>
      </c>
      <c r="F29" s="62"/>
      <c r="G29" s="61"/>
      <c r="H29" s="63">
        <f>ROUNDUP(4*2+5*2,2)</f>
        <v>18</v>
      </c>
      <c r="I29" s="64" t="s">
        <v>40</v>
      </c>
      <c r="J29" s="65">
        <f>ROUNDDOWN($G$1*1528/6*8,0)</f>
        <v>2037</v>
      </c>
      <c r="K29" s="66">
        <f>ROUNDDOWN(H29*J29,0)</f>
        <v>36666</v>
      </c>
      <c r="L29" s="61"/>
      <c r="M29" s="67" t="str">
        <f>B29</f>
        <v>本体</v>
      </c>
      <c r="N29" s="67" t="str">
        <f t="shared" si="1"/>
        <v>３．外部面材等</v>
      </c>
      <c r="O29" s="67"/>
      <c r="P29" s="67" t="str">
        <f>E29</f>
        <v>・OSB合板9×910×2,420</v>
      </c>
      <c r="Q29" s="67"/>
      <c r="R29" s="67"/>
      <c r="S29" s="63">
        <f t="shared" si="3"/>
        <v>18</v>
      </c>
      <c r="T29" s="67" t="str">
        <f t="shared" si="3"/>
        <v>枚</v>
      </c>
      <c r="U29" s="65">
        <f t="shared" ref="U29:U61" si="7">ROUNDDOWN(J29*$K$1,0)</f>
        <v>3055</v>
      </c>
      <c r="V29" s="66">
        <f>ROUNDDOWN(S29*U29,0)</f>
        <v>54990</v>
      </c>
      <c r="W29" s="67">
        <f>L29</f>
        <v>0</v>
      </c>
    </row>
    <row r="30" spans="2:23" x14ac:dyDescent="0.4">
      <c r="B30" s="60"/>
      <c r="C30" s="61"/>
      <c r="D30" s="62"/>
      <c r="E30" s="62" t="s">
        <v>56</v>
      </c>
      <c r="F30" s="62"/>
      <c r="G30" s="61"/>
      <c r="H30" s="63">
        <f>ROUNDUP(3.64*4.55/1.82/0.91+2,2)</f>
        <v>12</v>
      </c>
      <c r="I30" s="64" t="s">
        <v>40</v>
      </c>
      <c r="J30" s="65">
        <f>ROUNDDOWN($G$1*1528,0)</f>
        <v>1528</v>
      </c>
      <c r="K30" s="66">
        <f>ROUNDDOWN(H30*J30,0)</f>
        <v>18336</v>
      </c>
      <c r="L30" s="61"/>
      <c r="M30" s="67">
        <f>B30</f>
        <v>0</v>
      </c>
      <c r="N30" s="67">
        <f t="shared" si="1"/>
        <v>0</v>
      </c>
      <c r="O30" s="67"/>
      <c r="P30" s="67" t="str">
        <f>E30</f>
        <v>・OSB合板9×910×1,820</v>
      </c>
      <c r="Q30" s="67"/>
      <c r="R30" s="67"/>
      <c r="S30" s="63">
        <f t="shared" si="3"/>
        <v>12</v>
      </c>
      <c r="T30" s="67" t="str">
        <f t="shared" si="3"/>
        <v>枚</v>
      </c>
      <c r="U30" s="65">
        <f t="shared" si="7"/>
        <v>2292</v>
      </c>
      <c r="V30" s="66">
        <f>ROUNDDOWN(S30*U30,0)</f>
        <v>27504</v>
      </c>
      <c r="W30" s="67">
        <f>L30</f>
        <v>0</v>
      </c>
    </row>
    <row r="31" spans="2:23" x14ac:dyDescent="0.4">
      <c r="B31" s="60"/>
      <c r="C31" s="61"/>
      <c r="D31" s="62"/>
      <c r="E31" s="62" t="s">
        <v>57</v>
      </c>
      <c r="F31" s="62"/>
      <c r="G31" s="61"/>
      <c r="H31" s="63">
        <f>ROUNDUP((3.64+4.55)*2*3/50,0)</f>
        <v>1</v>
      </c>
      <c r="I31" s="64" t="s">
        <v>35</v>
      </c>
      <c r="J31" s="65">
        <f>ROUNDDOWN($G$1*1200,0)</f>
        <v>1200</v>
      </c>
      <c r="K31" s="66">
        <f>ROUNDDOWN(H31*J31,0)</f>
        <v>1200</v>
      </c>
      <c r="L31" s="68"/>
      <c r="M31" s="67">
        <f>B31</f>
        <v>0</v>
      </c>
      <c r="N31" s="67">
        <f t="shared" si="1"/>
        <v>0</v>
      </c>
      <c r="O31" s="67"/>
      <c r="P31" s="67" t="str">
        <f>E31</f>
        <v>・防湿シート50m巻き</v>
      </c>
      <c r="Q31" s="67"/>
      <c r="R31" s="67"/>
      <c r="S31" s="63">
        <f t="shared" si="3"/>
        <v>1</v>
      </c>
      <c r="T31" s="67" t="str">
        <f t="shared" si="3"/>
        <v>本</v>
      </c>
      <c r="U31" s="65">
        <f t="shared" si="7"/>
        <v>1800</v>
      </c>
      <c r="V31" s="66">
        <f>ROUNDDOWN(S31*U31,0)</f>
        <v>1800</v>
      </c>
      <c r="W31" s="67">
        <f>L31</f>
        <v>0</v>
      </c>
    </row>
    <row r="32" spans="2:23" x14ac:dyDescent="0.4">
      <c r="B32" s="60"/>
      <c r="C32" s="61"/>
      <c r="D32" s="62"/>
      <c r="E32" s="62" t="s">
        <v>112</v>
      </c>
      <c r="F32" s="62"/>
      <c r="G32" s="61"/>
      <c r="H32" s="63">
        <v>1</v>
      </c>
      <c r="I32" s="64" t="s">
        <v>94</v>
      </c>
      <c r="J32" s="117">
        <v>25000</v>
      </c>
      <c r="K32" s="66">
        <f>ROUNDDOWN(H32*J32,0)</f>
        <v>25000</v>
      </c>
      <c r="L32" s="160">
        <f>SUM(K29:K32)</f>
        <v>81202</v>
      </c>
      <c r="M32" s="67">
        <f>B32</f>
        <v>0</v>
      </c>
      <c r="N32" s="67">
        <f t="shared" si="1"/>
        <v>0</v>
      </c>
      <c r="O32" s="67"/>
      <c r="P32" s="67" t="str">
        <f>E32</f>
        <v>・合板施工費</v>
      </c>
      <c r="Q32" s="67"/>
      <c r="R32" s="67"/>
      <c r="S32" s="63">
        <f t="shared" si="3"/>
        <v>1</v>
      </c>
      <c r="T32" s="67" t="str">
        <f t="shared" si="3"/>
        <v>人</v>
      </c>
      <c r="U32" s="65">
        <f t="shared" si="7"/>
        <v>37500</v>
      </c>
      <c r="V32" s="66">
        <f>ROUNDDOWN(S32*U32,0)</f>
        <v>37500</v>
      </c>
      <c r="W32" s="160">
        <f>SUM(V29:V32)</f>
        <v>121794</v>
      </c>
    </row>
    <row r="33" spans="2:23" x14ac:dyDescent="0.4">
      <c r="B33" s="112" t="s">
        <v>106</v>
      </c>
      <c r="C33" s="112" t="s">
        <v>66</v>
      </c>
      <c r="D33" s="114"/>
      <c r="E33" s="114" t="s">
        <v>156</v>
      </c>
      <c r="F33" s="114"/>
      <c r="G33" s="120"/>
      <c r="H33" s="115">
        <f>ROUNDUP(3.9*4.8/3.3124,2)</f>
        <v>5.66</v>
      </c>
      <c r="I33" s="116" t="s">
        <v>155</v>
      </c>
      <c r="J33" s="117">
        <f>ROUNDDOWN($G$1*2300,0)</f>
        <v>2300</v>
      </c>
      <c r="K33" s="118">
        <f t="shared" ref="K33:K57" si="8">ROUNDDOWN(H33*J33,0)</f>
        <v>13018</v>
      </c>
      <c r="L33" s="114"/>
      <c r="M33" s="119" t="str">
        <f t="shared" ref="M33:N51" si="9">B33</f>
        <v>本体</v>
      </c>
      <c r="N33" s="67" t="str">
        <f t="shared" si="1"/>
        <v>５．断熱材</v>
      </c>
      <c r="O33" s="119"/>
      <c r="P33" s="119" t="str">
        <f t="shared" ref="P33:P51" si="10">E33</f>
        <v>・床グラスウール90㎜</v>
      </c>
      <c r="Q33" s="119"/>
      <c r="R33" s="119"/>
      <c r="S33" s="115">
        <f t="shared" si="3"/>
        <v>5.66</v>
      </c>
      <c r="T33" s="119" t="str">
        <f t="shared" si="3"/>
        <v>坪</v>
      </c>
      <c r="U33" s="117">
        <f t="shared" si="7"/>
        <v>3450</v>
      </c>
      <c r="V33" s="118">
        <f t="shared" ref="V33:V51" si="11">ROUNDDOWN(S33*U33,0)</f>
        <v>19527</v>
      </c>
      <c r="W33" s="119">
        <f t="shared" ref="W33:W51" si="12">L33</f>
        <v>0</v>
      </c>
    </row>
    <row r="34" spans="2:23" x14ac:dyDescent="0.4">
      <c r="B34" s="112"/>
      <c r="C34" s="114"/>
      <c r="D34" s="113"/>
      <c r="E34" s="114" t="s">
        <v>157</v>
      </c>
      <c r="F34" s="113"/>
      <c r="G34" s="114"/>
      <c r="H34" s="115">
        <f>ROUNDUP((3.9+4.8)*2*2.2/3.3124,0)</f>
        <v>12</v>
      </c>
      <c r="I34" s="116" t="s">
        <v>155</v>
      </c>
      <c r="J34" s="117">
        <f>ROUNDDOWN($G$1*2300,0)</f>
        <v>2300</v>
      </c>
      <c r="K34" s="118">
        <f t="shared" si="8"/>
        <v>27600</v>
      </c>
      <c r="L34" s="114"/>
      <c r="M34" s="119">
        <f t="shared" si="9"/>
        <v>0</v>
      </c>
      <c r="N34" s="67">
        <f t="shared" si="1"/>
        <v>0</v>
      </c>
      <c r="O34" s="119"/>
      <c r="P34" s="119" t="str">
        <f t="shared" si="10"/>
        <v>・壁グラスウール91㎜</v>
      </c>
      <c r="Q34" s="119"/>
      <c r="R34" s="119"/>
      <c r="S34" s="115">
        <f t="shared" si="3"/>
        <v>12</v>
      </c>
      <c r="T34" s="119" t="str">
        <f t="shared" si="3"/>
        <v>坪</v>
      </c>
      <c r="U34" s="117">
        <f t="shared" si="7"/>
        <v>3450</v>
      </c>
      <c r="V34" s="118">
        <f t="shared" si="11"/>
        <v>41400</v>
      </c>
      <c r="W34" s="119">
        <f t="shared" si="12"/>
        <v>0</v>
      </c>
    </row>
    <row r="35" spans="2:23" x14ac:dyDescent="0.4">
      <c r="B35" s="112"/>
      <c r="C35" s="114"/>
      <c r="D35" s="113"/>
      <c r="E35" s="114" t="s">
        <v>158</v>
      </c>
      <c r="F35" s="113"/>
      <c r="G35" s="114"/>
      <c r="H35" s="115">
        <f>ROUNDUP(10,2)</f>
        <v>10</v>
      </c>
      <c r="I35" s="116" t="s">
        <v>155</v>
      </c>
      <c r="J35" s="117">
        <f>ROUNDDOWN($G$1*2300,0)</f>
        <v>2300</v>
      </c>
      <c r="K35" s="118">
        <f t="shared" si="8"/>
        <v>23000</v>
      </c>
      <c r="L35" s="160">
        <f>SUM(K33:K35)</f>
        <v>63618</v>
      </c>
      <c r="M35" s="119">
        <f t="shared" si="9"/>
        <v>0</v>
      </c>
      <c r="N35" s="67">
        <f t="shared" si="1"/>
        <v>0</v>
      </c>
      <c r="O35" s="119"/>
      <c r="P35" s="119" t="str">
        <f t="shared" si="10"/>
        <v>・天井グラスウール92㎜</v>
      </c>
      <c r="Q35" s="119"/>
      <c r="R35" s="119"/>
      <c r="S35" s="115">
        <f t="shared" si="3"/>
        <v>10</v>
      </c>
      <c r="T35" s="119" t="str">
        <f t="shared" si="3"/>
        <v>坪</v>
      </c>
      <c r="U35" s="117">
        <f t="shared" si="7"/>
        <v>3450</v>
      </c>
      <c r="V35" s="118">
        <f t="shared" si="11"/>
        <v>34500</v>
      </c>
      <c r="W35" s="160">
        <f>SUM(V33:V35)</f>
        <v>95427</v>
      </c>
    </row>
    <row r="36" spans="2:23" x14ac:dyDescent="0.4">
      <c r="B36" s="112" t="s">
        <v>106</v>
      </c>
      <c r="C36" s="112" t="s">
        <v>109</v>
      </c>
      <c r="D36" s="113"/>
      <c r="E36" s="114" t="s">
        <v>58</v>
      </c>
      <c r="F36" s="113"/>
      <c r="G36" s="114"/>
      <c r="H36" s="115">
        <f>ROUNDUP(5*4.5,0)</f>
        <v>23</v>
      </c>
      <c r="I36" s="116" t="s">
        <v>113</v>
      </c>
      <c r="J36" s="117">
        <f>ROUNDDOWN($G$1*2300,0)</f>
        <v>2300</v>
      </c>
      <c r="K36" s="118">
        <f>ROUNDDOWN(H36*J36,0)</f>
        <v>52900</v>
      </c>
      <c r="L36" s="114" t="s">
        <v>60</v>
      </c>
      <c r="M36" s="119" t="str">
        <f>B36</f>
        <v>本体</v>
      </c>
      <c r="N36" s="67" t="str">
        <f t="shared" si="1"/>
        <v>４．屋根外壁工事</v>
      </c>
      <c r="O36" s="119"/>
      <c r="P36" s="119" t="str">
        <f>E36</f>
        <v>・屋根ガルバニュウム鋼板</v>
      </c>
      <c r="Q36" s="119"/>
      <c r="R36" s="119"/>
      <c r="S36" s="115">
        <f>H36</f>
        <v>23</v>
      </c>
      <c r="T36" s="119" t="str">
        <f>I36</f>
        <v>㎡</v>
      </c>
      <c r="U36" s="117">
        <f>ROUNDDOWN(J36*$K$1,0)</f>
        <v>3450</v>
      </c>
      <c r="V36" s="118">
        <f>ROUNDDOWN(S36*U36,0)</f>
        <v>79350</v>
      </c>
      <c r="W36" s="119" t="str">
        <f>L36</f>
        <v>4.5m×5本 素地</v>
      </c>
    </row>
    <row r="37" spans="2:23" x14ac:dyDescent="0.4">
      <c r="B37" s="112" t="s">
        <v>61</v>
      </c>
      <c r="C37" s="114" t="s">
        <v>110</v>
      </c>
      <c r="D37" s="113"/>
      <c r="E37" s="113" t="s">
        <v>62</v>
      </c>
      <c r="F37" s="113"/>
      <c r="G37" s="114"/>
      <c r="H37" s="115">
        <v>5</v>
      </c>
      <c r="I37" s="116" t="s">
        <v>35</v>
      </c>
      <c r="J37" s="117">
        <f>ROUNDDOWN($G$1*1500,0)</f>
        <v>1500</v>
      </c>
      <c r="K37" s="118">
        <f>ROUNDDOWN(H37*J37,0)</f>
        <v>7500</v>
      </c>
      <c r="L37" s="114" t="s">
        <v>63</v>
      </c>
      <c r="M37" s="119" t="str">
        <f>B37</f>
        <v>　</v>
      </c>
      <c r="N37" s="67" t="str">
        <f t="shared" si="1"/>
        <v>　（ガルバ色洗濯可能）</v>
      </c>
      <c r="O37" s="119"/>
      <c r="P37" s="119" t="str">
        <f>E37</f>
        <v>・取外し水切り糸長150㎜４ｍ</v>
      </c>
      <c r="Q37" s="119"/>
      <c r="R37" s="119"/>
      <c r="S37" s="115">
        <f>H37</f>
        <v>5</v>
      </c>
      <c r="T37" s="119" t="str">
        <f>I37</f>
        <v>本</v>
      </c>
      <c r="U37" s="117">
        <f>ROUNDDOWN(J37*$K$1,0)</f>
        <v>2250</v>
      </c>
      <c r="V37" s="118">
        <f>ROUNDDOWN(S37*U37,0)</f>
        <v>11250</v>
      </c>
      <c r="W37" s="119" t="str">
        <f>L37</f>
        <v>L=2,300㎜</v>
      </c>
    </row>
    <row r="38" spans="2:23" x14ac:dyDescent="0.4">
      <c r="B38" s="112"/>
      <c r="C38" s="114"/>
      <c r="D38" s="113"/>
      <c r="E38" s="113" t="s">
        <v>114</v>
      </c>
      <c r="F38" s="113"/>
      <c r="G38" s="114"/>
      <c r="H38" s="115">
        <f>ROUNDUP((4.8+3.9)*2*2.3,0)</f>
        <v>41</v>
      </c>
      <c r="I38" s="116" t="s">
        <v>113</v>
      </c>
      <c r="J38" s="117">
        <f>ROUNDDOWN($G$1*6500,0)</f>
        <v>6500</v>
      </c>
      <c r="K38" s="118">
        <f>ROUNDDOWN(H38*J38,0)</f>
        <v>266500</v>
      </c>
      <c r="L38" s="114" t="s">
        <v>63</v>
      </c>
      <c r="M38" s="119">
        <f>B38</f>
        <v>0</v>
      </c>
      <c r="N38" s="67">
        <f t="shared" si="1"/>
        <v>0</v>
      </c>
      <c r="O38" s="119"/>
      <c r="P38" s="119" t="str">
        <f>E38</f>
        <v>・外壁角スパンガルバ鋼板</v>
      </c>
      <c r="Q38" s="119"/>
      <c r="R38" s="119"/>
      <c r="S38" s="115">
        <f>H38</f>
        <v>41</v>
      </c>
      <c r="T38" s="119" t="str">
        <f>I38</f>
        <v>㎡</v>
      </c>
      <c r="U38" s="117">
        <f>ROUNDDOWN(J38*$K$1,0)</f>
        <v>9750</v>
      </c>
      <c r="V38" s="118">
        <f>ROUNDDOWN(S38*U38,0)</f>
        <v>399750</v>
      </c>
      <c r="W38" s="119" t="str">
        <f>L38</f>
        <v>L=2,300㎜</v>
      </c>
    </row>
    <row r="39" spans="2:23" x14ac:dyDescent="0.4">
      <c r="B39" s="112"/>
      <c r="C39" s="114"/>
      <c r="D39" s="114"/>
      <c r="E39" s="114" t="s">
        <v>64</v>
      </c>
      <c r="F39" s="114"/>
      <c r="G39" s="120"/>
      <c r="H39" s="115">
        <f>ROUNDUP(6,2)</f>
        <v>6</v>
      </c>
      <c r="I39" s="116" t="s">
        <v>35</v>
      </c>
      <c r="J39" s="117">
        <f>ROUNDDOWN($G$1*3500,0)</f>
        <v>3500</v>
      </c>
      <c r="K39" s="118">
        <f>ROUNDDOWN(H39*J39,0)</f>
        <v>21000</v>
      </c>
      <c r="L39" s="114"/>
      <c r="M39" s="119">
        <f>B39</f>
        <v>0</v>
      </c>
      <c r="N39" s="67">
        <f t="shared" si="1"/>
        <v>0</v>
      </c>
      <c r="O39" s="119"/>
      <c r="P39" s="119" t="str">
        <f>E39</f>
        <v>・唐草下がり40㎜L=3m</v>
      </c>
      <c r="Q39" s="119"/>
      <c r="R39" s="119"/>
      <c r="S39" s="115">
        <f>H39</f>
        <v>6</v>
      </c>
      <c r="T39" s="119" t="str">
        <f>I39</f>
        <v>本</v>
      </c>
      <c r="U39" s="117">
        <f>ROUNDDOWN(J39*$K$1,0)</f>
        <v>5250</v>
      </c>
      <c r="V39" s="118">
        <f>ROUNDDOWN(S39*U39,0)</f>
        <v>31500</v>
      </c>
      <c r="W39" s="119">
        <f>L39</f>
        <v>0</v>
      </c>
    </row>
    <row r="40" spans="2:23" x14ac:dyDescent="0.4">
      <c r="B40" s="112"/>
      <c r="C40" s="114"/>
      <c r="D40" s="113"/>
      <c r="E40" s="113" t="s">
        <v>65</v>
      </c>
      <c r="F40" s="113"/>
      <c r="G40" s="114"/>
      <c r="H40" s="115">
        <f>ROUNDUP(4*5,2)</f>
        <v>20</v>
      </c>
      <c r="I40" s="116" t="s">
        <v>113</v>
      </c>
      <c r="J40" s="117">
        <f>ROUNDDOWN($G$1*1500,0)</f>
        <v>1500</v>
      </c>
      <c r="K40" s="118">
        <f>ROUNDDOWN(H40*J40,0)</f>
        <v>30000</v>
      </c>
      <c r="L40" s="114"/>
      <c r="M40" s="119">
        <f>B40</f>
        <v>0</v>
      </c>
      <c r="N40" s="67">
        <f t="shared" si="1"/>
        <v>0</v>
      </c>
      <c r="O40" s="119"/>
      <c r="P40" s="119" t="str">
        <f>E40</f>
        <v>・床下用ガルバニュウム鋼板</v>
      </c>
      <c r="Q40" s="119"/>
      <c r="R40" s="119"/>
      <c r="S40" s="115">
        <f>H40</f>
        <v>20</v>
      </c>
      <c r="T40" s="119" t="str">
        <f>I40</f>
        <v>㎡</v>
      </c>
      <c r="U40" s="117">
        <f>ROUNDDOWN(J40*$K$1,0)</f>
        <v>2250</v>
      </c>
      <c r="V40" s="118">
        <f>ROUNDDOWN(S40*U40,0)</f>
        <v>45000</v>
      </c>
      <c r="W40" s="119">
        <f>L40</f>
        <v>0</v>
      </c>
    </row>
    <row r="41" spans="2:23" x14ac:dyDescent="0.4">
      <c r="B41" s="112"/>
      <c r="C41" s="114"/>
      <c r="D41" s="113"/>
      <c r="E41" s="113" t="s">
        <v>116</v>
      </c>
      <c r="F41" s="113"/>
      <c r="G41" s="114"/>
      <c r="H41" s="115">
        <f>ROUNDUP(4*2.2*2,2)</f>
        <v>17.600000000000001</v>
      </c>
      <c r="I41" s="116" t="s">
        <v>113</v>
      </c>
      <c r="J41" s="117">
        <f>ROUNDDOWN($G$1*7800,0)</f>
        <v>7800</v>
      </c>
      <c r="K41" s="118">
        <f>ROUNDDOWN(H41*J41,0)</f>
        <v>137280</v>
      </c>
      <c r="L41" s="114"/>
      <c r="M41" s="119">
        <f>B41</f>
        <v>0</v>
      </c>
      <c r="N41" s="67">
        <f t="shared" si="1"/>
        <v>0</v>
      </c>
      <c r="O41" s="119"/>
      <c r="P41" s="119" t="str">
        <f>E41</f>
        <v>・下見板張り（防腐剤塗り共）</v>
      </c>
      <c r="Q41" s="119"/>
      <c r="R41" s="119"/>
      <c r="S41" s="115">
        <f>H41</f>
        <v>17.600000000000001</v>
      </c>
      <c r="T41" s="119" t="str">
        <f>I41</f>
        <v>㎡</v>
      </c>
      <c r="U41" s="117">
        <f>ROUNDDOWN(J41*$K$1,0)</f>
        <v>11700</v>
      </c>
      <c r="V41" s="118">
        <f>ROUNDDOWN(S41*U41,0)</f>
        <v>205920</v>
      </c>
      <c r="W41" s="119">
        <f>L41</f>
        <v>0</v>
      </c>
    </row>
    <row r="42" spans="2:23" x14ac:dyDescent="0.4">
      <c r="B42" s="112"/>
      <c r="C42" s="114"/>
      <c r="D42" s="113"/>
      <c r="E42" s="113" t="s">
        <v>115</v>
      </c>
      <c r="F42" s="113"/>
      <c r="G42" s="114"/>
      <c r="H42" s="115">
        <v>3</v>
      </c>
      <c r="I42" s="116" t="s">
        <v>94</v>
      </c>
      <c r="J42" s="117">
        <f>ROUNDDOWN($G$1*25000,0)</f>
        <v>25000</v>
      </c>
      <c r="K42" s="118">
        <f>ROUNDDOWN(H42*J42,0)</f>
        <v>75000</v>
      </c>
      <c r="L42" s="160">
        <f>SUM(K36:K42)</f>
        <v>590180</v>
      </c>
      <c r="M42" s="119">
        <f>B42</f>
        <v>0</v>
      </c>
      <c r="N42" s="67">
        <f t="shared" si="1"/>
        <v>0</v>
      </c>
      <c r="O42" s="119"/>
      <c r="P42" s="119" t="str">
        <f>E42</f>
        <v>・外壁張り手間</v>
      </c>
      <c r="Q42" s="119"/>
      <c r="R42" s="119"/>
      <c r="S42" s="115">
        <f>H42</f>
        <v>3</v>
      </c>
      <c r="T42" s="119" t="str">
        <f>I42</f>
        <v>人</v>
      </c>
      <c r="U42" s="117">
        <f>ROUNDDOWN(J42*$K$1,0)</f>
        <v>37500</v>
      </c>
      <c r="V42" s="118">
        <f>ROUNDDOWN(S42*U42,0)</f>
        <v>112500</v>
      </c>
      <c r="W42" s="160">
        <f>SUM(V36:V42)</f>
        <v>885270</v>
      </c>
    </row>
    <row r="43" spans="2:23" x14ac:dyDescent="0.4">
      <c r="B43" s="112" t="s">
        <v>106</v>
      </c>
      <c r="C43" s="114" t="s">
        <v>117</v>
      </c>
      <c r="D43" s="113"/>
      <c r="E43" s="114" t="s">
        <v>151</v>
      </c>
      <c r="F43" s="113"/>
      <c r="G43" s="114"/>
      <c r="H43" s="115">
        <v>1</v>
      </c>
      <c r="I43" s="116" t="s">
        <v>40</v>
      </c>
      <c r="J43" s="117">
        <v>45000</v>
      </c>
      <c r="K43" s="118">
        <f>ROUNDDOWN(H43*J43,0)</f>
        <v>45000</v>
      </c>
      <c r="L43" s="114" t="s">
        <v>150</v>
      </c>
      <c r="M43" s="119" t="str">
        <f t="shared" ref="M43" si="13">B43</f>
        <v>本体</v>
      </c>
      <c r="N43" s="67" t="str">
        <f t="shared" si="1"/>
        <v>５．サッシ木製建具工事</v>
      </c>
      <c r="O43" s="119"/>
      <c r="P43" s="119" t="str">
        <f t="shared" ref="P43" si="14">E43</f>
        <v>・木製建具（クローゼット）</v>
      </c>
      <c r="Q43" s="119"/>
      <c r="R43" s="119"/>
      <c r="S43" s="115">
        <f t="shared" ref="S43:T43" si="15">H43</f>
        <v>1</v>
      </c>
      <c r="T43" s="119" t="str">
        <f t="shared" si="15"/>
        <v>枚</v>
      </c>
      <c r="U43" s="117">
        <f>ROUNDDOWN(J43*$K$1,0)</f>
        <v>67500</v>
      </c>
      <c r="V43" s="118">
        <f t="shared" ref="V43" si="16">ROUNDDOWN(S43*U43,0)</f>
        <v>67500</v>
      </c>
      <c r="W43" s="119" t="str">
        <f t="shared" ref="W43" si="17">L43</f>
        <v>収納分</v>
      </c>
    </row>
    <row r="44" spans="2:23" s="69" customFormat="1" x14ac:dyDescent="0.4">
      <c r="B44" s="112"/>
      <c r="C44" s="114"/>
      <c r="D44" s="114"/>
      <c r="E44" s="114" t="s">
        <v>82</v>
      </c>
      <c r="F44" s="114" t="s">
        <v>83</v>
      </c>
      <c r="G44" s="120"/>
      <c r="H44" s="115">
        <v>1</v>
      </c>
      <c r="I44" s="116" t="s">
        <v>77</v>
      </c>
      <c r="J44" s="117">
        <f>ROUNDDOWN($G$1*180000,0)</f>
        <v>180000</v>
      </c>
      <c r="K44" s="118">
        <f>ROUNDDOWN(H44*J44,0)</f>
        <v>180000</v>
      </c>
      <c r="L44" s="114"/>
      <c r="M44" s="119">
        <f>B44</f>
        <v>0</v>
      </c>
      <c r="N44" s="67">
        <f t="shared" si="1"/>
        <v>0</v>
      </c>
      <c r="O44" s="119"/>
      <c r="P44" s="119" t="str">
        <f>E44</f>
        <v>・サッシ</v>
      </c>
      <c r="Q44" s="119"/>
      <c r="R44" s="119"/>
      <c r="S44" s="115">
        <f>H44</f>
        <v>1</v>
      </c>
      <c r="T44" s="119" t="str">
        <f>I44</f>
        <v>台</v>
      </c>
      <c r="U44" s="117">
        <f>ROUNDDOWN(J44*$K$1,0)</f>
        <v>270000</v>
      </c>
      <c r="V44" s="118">
        <f>ROUNDDOWN(S44*U44,0)</f>
        <v>270000</v>
      </c>
      <c r="W44" s="119">
        <f>L44</f>
        <v>0</v>
      </c>
    </row>
    <row r="45" spans="2:23" s="69" customFormat="1" x14ac:dyDescent="0.4">
      <c r="B45" s="112"/>
      <c r="C45" s="114"/>
      <c r="D45" s="113"/>
      <c r="E45" s="114"/>
      <c r="F45" s="113" t="s">
        <v>84</v>
      </c>
      <c r="G45" s="114"/>
      <c r="H45" s="115">
        <v>1</v>
      </c>
      <c r="I45" s="116" t="s">
        <v>85</v>
      </c>
      <c r="J45" s="117">
        <f>ROUNDDOWN($G$1*125000,0)</f>
        <v>125000</v>
      </c>
      <c r="K45" s="118">
        <f>ROUNDDOWN(H45*J45,0)</f>
        <v>125000</v>
      </c>
      <c r="L45" s="160">
        <f>SUM(K43:K45)</f>
        <v>350000</v>
      </c>
      <c r="M45" s="119">
        <f>B45</f>
        <v>0</v>
      </c>
      <c r="N45" s="67">
        <f t="shared" si="1"/>
        <v>0</v>
      </c>
      <c r="O45" s="119"/>
      <c r="P45" s="119">
        <f>E45</f>
        <v>0</v>
      </c>
      <c r="Q45" s="119"/>
      <c r="R45" s="119"/>
      <c r="S45" s="115">
        <f>H45</f>
        <v>1</v>
      </c>
      <c r="T45" s="119" t="str">
        <f>I45</f>
        <v>式</v>
      </c>
      <c r="U45" s="117">
        <f>ROUNDDOWN(J45*$K$1,0)</f>
        <v>187500</v>
      </c>
      <c r="V45" s="118">
        <f>ROUNDDOWN(S45*U45,0)</f>
        <v>187500</v>
      </c>
      <c r="W45" s="160">
        <f>SUM(V43:V45)</f>
        <v>525000</v>
      </c>
    </row>
    <row r="46" spans="2:23" x14ac:dyDescent="0.4">
      <c r="B46" s="141" t="s">
        <v>118</v>
      </c>
      <c r="C46" s="142"/>
      <c r="D46" s="143"/>
      <c r="E46" s="143"/>
      <c r="F46" s="143"/>
      <c r="G46" s="142"/>
      <c r="H46" s="144">
        <v>1</v>
      </c>
      <c r="I46" s="145" t="s">
        <v>85</v>
      </c>
      <c r="J46" s="146"/>
      <c r="K46" s="147">
        <f>ROUNDDOWN(SUM(K15:K45)*$J$1,0)</f>
        <v>215641</v>
      </c>
      <c r="L46" s="142"/>
      <c r="M46" s="141" t="str">
        <f t="shared" ref="M46:M47" si="18">B46</f>
        <v>本体諸費用（交通費、労災、安全管理費等）</v>
      </c>
      <c r="N46" s="148"/>
      <c r="O46" s="148"/>
      <c r="P46" s="143"/>
      <c r="Q46" s="143"/>
      <c r="R46" s="142"/>
      <c r="S46" s="144">
        <f t="shared" ref="S46:T47" si="19">H46</f>
        <v>1</v>
      </c>
      <c r="T46" s="141" t="str">
        <f t="shared" si="19"/>
        <v>式</v>
      </c>
      <c r="U46" s="146"/>
      <c r="V46" s="147">
        <f>ROUNDDOWN(SUM(V15:V45)*$J$1,0)</f>
        <v>323454</v>
      </c>
      <c r="W46" s="148">
        <f t="shared" ref="W46:W47" si="20">L46</f>
        <v>0</v>
      </c>
    </row>
    <row r="47" spans="2:23" s="122" customFormat="1" x14ac:dyDescent="0.4">
      <c r="B47" s="128" t="s">
        <v>137</v>
      </c>
      <c r="C47" s="129"/>
      <c r="D47" s="129"/>
      <c r="E47" s="129"/>
      <c r="F47" s="129"/>
      <c r="G47" s="130"/>
      <c r="H47" s="131"/>
      <c r="I47" s="132"/>
      <c r="J47" s="133"/>
      <c r="K47" s="134">
        <f>SUM(K15:K46)</f>
        <v>1653249</v>
      </c>
      <c r="L47" s="129"/>
      <c r="M47" s="135" t="str">
        <f t="shared" si="18"/>
        <v>【本体価格計】</v>
      </c>
      <c r="N47" s="135"/>
      <c r="O47" s="135"/>
      <c r="P47" s="135">
        <f t="shared" ref="P47" si="21">E47</f>
        <v>0</v>
      </c>
      <c r="Q47" s="135"/>
      <c r="R47" s="135"/>
      <c r="S47" s="131">
        <f t="shared" si="19"/>
        <v>0</v>
      </c>
      <c r="T47" s="135">
        <f t="shared" si="19"/>
        <v>0</v>
      </c>
      <c r="U47" s="133">
        <f t="shared" ref="U47" si="22">ROUNDDOWN(J47*$K$1,0)</f>
        <v>0</v>
      </c>
      <c r="V47" s="134">
        <f>SUM(V15:V46)</f>
        <v>2479818</v>
      </c>
      <c r="W47" s="135">
        <f t="shared" si="20"/>
        <v>0</v>
      </c>
    </row>
    <row r="48" spans="2:23" s="122" customFormat="1" x14ac:dyDescent="0.4">
      <c r="B48" s="112" t="s">
        <v>119</v>
      </c>
      <c r="C48" s="112" t="s">
        <v>120</v>
      </c>
      <c r="D48" s="114"/>
      <c r="E48" s="114" t="s">
        <v>152</v>
      </c>
      <c r="F48" s="114"/>
      <c r="G48" s="120"/>
      <c r="H48" s="115">
        <f>ROUNDUP(4.8*3.9,2)</f>
        <v>18.72</v>
      </c>
      <c r="I48" s="116" t="s">
        <v>113</v>
      </c>
      <c r="J48" s="117">
        <v>9800</v>
      </c>
      <c r="K48" s="118">
        <f t="shared" si="8"/>
        <v>183456</v>
      </c>
      <c r="L48" s="114" t="s">
        <v>71</v>
      </c>
      <c r="M48" s="119" t="str">
        <f t="shared" si="9"/>
        <v>ｵﾌﾟｼｮﾝ</v>
      </c>
      <c r="N48" s="67" t="str">
        <f t="shared" si="9"/>
        <v>１．内装仕上げ</v>
      </c>
      <c r="O48" s="119"/>
      <c r="P48" s="119" t="str">
        <f t="shared" si="10"/>
        <v>・床フローリング</v>
      </c>
      <c r="Q48" s="119"/>
      <c r="R48" s="119"/>
      <c r="S48" s="115">
        <f t="shared" si="3"/>
        <v>18.72</v>
      </c>
      <c r="T48" s="119" t="str">
        <f t="shared" si="3"/>
        <v>㎡</v>
      </c>
      <c r="U48" s="117">
        <f t="shared" si="7"/>
        <v>14700</v>
      </c>
      <c r="V48" s="118">
        <f t="shared" si="11"/>
        <v>275184</v>
      </c>
      <c r="W48" s="119" t="str">
        <f t="shared" si="12"/>
        <v>クリア塗装品</v>
      </c>
    </row>
    <row r="49" spans="2:23" s="122" customFormat="1" x14ac:dyDescent="0.4">
      <c r="B49" s="112"/>
      <c r="C49" s="114"/>
      <c r="D49" s="114"/>
      <c r="E49" s="114" t="s">
        <v>153</v>
      </c>
      <c r="F49" s="114"/>
      <c r="G49" s="120"/>
      <c r="H49" s="115">
        <f>ROUNDUP((4.8+3.9)*2*2+1.365*2.3*2.2,2)</f>
        <v>41.71</v>
      </c>
      <c r="I49" s="116" t="s">
        <v>113</v>
      </c>
      <c r="J49" s="117">
        <v>2500</v>
      </c>
      <c r="K49" s="118">
        <f t="shared" si="8"/>
        <v>104275</v>
      </c>
      <c r="L49" s="114" t="s">
        <v>72</v>
      </c>
      <c r="M49" s="119">
        <f t="shared" si="9"/>
        <v>0</v>
      </c>
      <c r="N49" s="67">
        <f t="shared" si="9"/>
        <v>0</v>
      </c>
      <c r="O49" s="119"/>
      <c r="P49" s="119" t="str">
        <f t="shared" si="10"/>
        <v>・壁クロス仕上げ</v>
      </c>
      <c r="Q49" s="119"/>
      <c r="R49" s="119"/>
      <c r="S49" s="115">
        <f t="shared" si="3"/>
        <v>41.71</v>
      </c>
      <c r="T49" s="119" t="str">
        <f t="shared" si="3"/>
        <v>㎡</v>
      </c>
      <c r="U49" s="117">
        <f t="shared" si="7"/>
        <v>3750</v>
      </c>
      <c r="V49" s="118">
        <f t="shared" si="11"/>
        <v>156412</v>
      </c>
      <c r="W49" s="119" t="str">
        <f t="shared" si="12"/>
        <v>910×2,420</v>
      </c>
    </row>
    <row r="50" spans="2:23" s="122" customFormat="1" x14ac:dyDescent="0.4">
      <c r="B50" s="112"/>
      <c r="C50" s="114"/>
      <c r="D50" s="114"/>
      <c r="E50" s="114" t="s">
        <v>154</v>
      </c>
      <c r="F50" s="114"/>
      <c r="G50" s="115">
        <f>ROUNDUP((4.8+3.9)*2*2+1.365*2.3*2.2,2)</f>
        <v>41.71</v>
      </c>
      <c r="H50" s="115">
        <f>$H$48</f>
        <v>18.72</v>
      </c>
      <c r="I50" s="116" t="s">
        <v>113</v>
      </c>
      <c r="J50" s="117">
        <v>2500</v>
      </c>
      <c r="K50" s="118">
        <f t="shared" si="8"/>
        <v>46800</v>
      </c>
      <c r="L50" s="114" t="s">
        <v>73</v>
      </c>
      <c r="M50" s="119">
        <f t="shared" si="9"/>
        <v>0</v>
      </c>
      <c r="N50" s="67">
        <f t="shared" si="9"/>
        <v>0</v>
      </c>
      <c r="O50" s="119"/>
      <c r="P50" s="119" t="str">
        <f t="shared" si="10"/>
        <v>・天井モクボードラワン 24.0mm厚</v>
      </c>
      <c r="Q50" s="119"/>
      <c r="R50" s="119"/>
      <c r="S50" s="115">
        <f t="shared" si="3"/>
        <v>18.72</v>
      </c>
      <c r="T50" s="119" t="str">
        <f t="shared" si="3"/>
        <v>㎡</v>
      </c>
      <c r="U50" s="117">
        <f t="shared" si="7"/>
        <v>3750</v>
      </c>
      <c r="V50" s="118">
        <f t="shared" si="11"/>
        <v>70200</v>
      </c>
      <c r="W50" s="119" t="str">
        <f t="shared" si="12"/>
        <v>910×1,820</v>
      </c>
    </row>
    <row r="51" spans="2:23" s="122" customFormat="1" x14ac:dyDescent="0.4">
      <c r="B51" s="112" t="s">
        <v>119</v>
      </c>
      <c r="C51" s="112" t="s">
        <v>121</v>
      </c>
      <c r="D51" s="113"/>
      <c r="E51" s="114" t="s">
        <v>162</v>
      </c>
      <c r="F51" s="113"/>
      <c r="G51" s="114"/>
      <c r="H51" s="115">
        <v>0</v>
      </c>
      <c r="I51" s="116" t="s">
        <v>77</v>
      </c>
      <c r="J51" s="117">
        <v>340000</v>
      </c>
      <c r="K51" s="118">
        <f t="shared" si="8"/>
        <v>0</v>
      </c>
      <c r="L51" s="114"/>
      <c r="M51" s="119" t="str">
        <f t="shared" si="9"/>
        <v>ｵﾌﾟｼｮﾝ</v>
      </c>
      <c r="N51" s="67" t="str">
        <f t="shared" si="9"/>
        <v>２．設備機器</v>
      </c>
      <c r="O51" s="119"/>
      <c r="P51" s="119" t="str">
        <f t="shared" si="10"/>
        <v>・ユニットバス1216</v>
      </c>
      <c r="Q51" s="119"/>
      <c r="R51" s="119"/>
      <c r="S51" s="115">
        <f t="shared" si="3"/>
        <v>0</v>
      </c>
      <c r="T51" s="119" t="str">
        <f t="shared" si="3"/>
        <v>台</v>
      </c>
      <c r="U51" s="117">
        <f t="shared" si="7"/>
        <v>510000</v>
      </c>
      <c r="V51" s="118">
        <f t="shared" si="11"/>
        <v>0</v>
      </c>
      <c r="W51" s="119">
        <f t="shared" si="12"/>
        <v>0</v>
      </c>
    </row>
    <row r="52" spans="2:23" s="123" customFormat="1" x14ac:dyDescent="0.4">
      <c r="B52" s="112"/>
      <c r="C52" s="114"/>
      <c r="D52" s="114"/>
      <c r="E52" s="114" t="s">
        <v>144</v>
      </c>
      <c r="F52" s="114"/>
      <c r="G52" s="120"/>
      <c r="H52" s="115">
        <v>0</v>
      </c>
      <c r="I52" s="116" t="s">
        <v>77</v>
      </c>
      <c r="J52" s="117">
        <v>150000</v>
      </c>
      <c r="K52" s="118">
        <f t="shared" si="8"/>
        <v>0</v>
      </c>
      <c r="L52" s="114"/>
      <c r="M52" s="119">
        <f>B52</f>
        <v>0</v>
      </c>
      <c r="N52" s="67">
        <f t="shared" ref="N52:N63" si="23">C52</f>
        <v>0</v>
      </c>
      <c r="O52" s="119"/>
      <c r="P52" s="119" t="str">
        <f>E52</f>
        <v>・ウォッシュレット</v>
      </c>
      <c r="Q52" s="119"/>
      <c r="R52" s="119"/>
      <c r="S52" s="115">
        <f>H52</f>
        <v>0</v>
      </c>
      <c r="T52" s="119" t="str">
        <f>I52</f>
        <v>台</v>
      </c>
      <c r="U52" s="117">
        <f t="shared" si="7"/>
        <v>225000</v>
      </c>
      <c r="V52" s="118">
        <f>ROUNDDOWN(S52*U52,0)</f>
        <v>0</v>
      </c>
      <c r="W52" s="119">
        <f>L52</f>
        <v>0</v>
      </c>
    </row>
    <row r="53" spans="2:23" s="123" customFormat="1" x14ac:dyDescent="0.4">
      <c r="B53" s="112"/>
      <c r="C53" s="114"/>
      <c r="D53" s="114"/>
      <c r="E53" s="114" t="s">
        <v>145</v>
      </c>
      <c r="F53" s="114"/>
      <c r="G53" s="120"/>
      <c r="H53" s="115">
        <v>0</v>
      </c>
      <c r="I53" s="116" t="s">
        <v>77</v>
      </c>
      <c r="J53" s="117">
        <v>125000</v>
      </c>
      <c r="K53" s="118">
        <f t="shared" si="8"/>
        <v>0</v>
      </c>
      <c r="L53" s="114"/>
      <c r="M53" s="119">
        <f>B53</f>
        <v>0</v>
      </c>
      <c r="N53" s="67">
        <f t="shared" si="23"/>
        <v>0</v>
      </c>
      <c r="O53" s="119"/>
      <c r="P53" s="119" t="str">
        <f>E53</f>
        <v>・ミニキッチン</v>
      </c>
      <c r="Q53" s="119"/>
      <c r="R53" s="119"/>
      <c r="S53" s="115">
        <f>H53</f>
        <v>0</v>
      </c>
      <c r="T53" s="119" t="str">
        <f>I53</f>
        <v>台</v>
      </c>
      <c r="U53" s="117">
        <f t="shared" si="7"/>
        <v>187500</v>
      </c>
      <c r="V53" s="118">
        <f>ROUNDDOWN(S53*U53,0)</f>
        <v>0</v>
      </c>
      <c r="W53" s="119">
        <f>L53</f>
        <v>0</v>
      </c>
    </row>
    <row r="54" spans="2:23" s="123" customFormat="1" x14ac:dyDescent="0.4">
      <c r="B54" s="112"/>
      <c r="C54" s="114"/>
      <c r="D54" s="114"/>
      <c r="E54" s="114" t="s">
        <v>78</v>
      </c>
      <c r="F54" s="114"/>
      <c r="G54" s="120"/>
      <c r="H54" s="115">
        <v>0</v>
      </c>
      <c r="I54" s="116" t="s">
        <v>77</v>
      </c>
      <c r="J54" s="117">
        <f>ROUNDDOWN($G$1*250000,0)</f>
        <v>250000</v>
      </c>
      <c r="K54" s="118">
        <f t="shared" si="8"/>
        <v>0</v>
      </c>
      <c r="L54" s="114"/>
      <c r="M54" s="119">
        <f>B54</f>
        <v>0</v>
      </c>
      <c r="N54" s="67">
        <f t="shared" si="23"/>
        <v>0</v>
      </c>
      <c r="O54" s="119"/>
      <c r="P54" s="119" t="str">
        <f>E54</f>
        <v>・エアコン</v>
      </c>
      <c r="Q54" s="119"/>
      <c r="R54" s="119"/>
      <c r="S54" s="115">
        <f>H54</f>
        <v>0</v>
      </c>
      <c r="T54" s="119" t="str">
        <f>I54</f>
        <v>台</v>
      </c>
      <c r="U54" s="117">
        <f t="shared" si="7"/>
        <v>375000</v>
      </c>
      <c r="V54" s="118">
        <f>ROUNDDOWN(S54*U54,0)</f>
        <v>0</v>
      </c>
      <c r="W54" s="119">
        <f>L54</f>
        <v>0</v>
      </c>
    </row>
    <row r="55" spans="2:23" s="123" customFormat="1" x14ac:dyDescent="0.4">
      <c r="B55" s="112"/>
      <c r="C55" s="114"/>
      <c r="D55" s="114"/>
      <c r="E55" s="114" t="s">
        <v>79</v>
      </c>
      <c r="F55" s="114"/>
      <c r="G55" s="120"/>
      <c r="H55" s="115">
        <v>0</v>
      </c>
      <c r="I55" s="116" t="s">
        <v>77</v>
      </c>
      <c r="J55" s="117">
        <f>ROUNDDOWN($G$1*180000,0)</f>
        <v>180000</v>
      </c>
      <c r="K55" s="118">
        <f t="shared" si="8"/>
        <v>0</v>
      </c>
      <c r="L55" s="114"/>
      <c r="M55" s="119">
        <f>B55</f>
        <v>0</v>
      </c>
      <c r="N55" s="67">
        <f t="shared" si="23"/>
        <v>0</v>
      </c>
      <c r="O55" s="119"/>
      <c r="P55" s="119" t="str">
        <f>E55</f>
        <v>・ガス給湯器16号</v>
      </c>
      <c r="Q55" s="119"/>
      <c r="R55" s="119"/>
      <c r="S55" s="115">
        <f>H55</f>
        <v>0</v>
      </c>
      <c r="T55" s="119" t="str">
        <f>I55</f>
        <v>台</v>
      </c>
      <c r="U55" s="117">
        <f t="shared" si="7"/>
        <v>270000</v>
      </c>
      <c r="V55" s="118">
        <f>ROUNDDOWN(S55*U55,0)</f>
        <v>0</v>
      </c>
      <c r="W55" s="119">
        <f>L55</f>
        <v>0</v>
      </c>
    </row>
    <row r="56" spans="2:23" s="123" customFormat="1" x14ac:dyDescent="0.4">
      <c r="B56" s="112"/>
      <c r="C56" s="114"/>
      <c r="D56" s="113"/>
      <c r="E56" s="114" t="s">
        <v>86</v>
      </c>
      <c r="F56" s="113"/>
      <c r="G56" s="114"/>
      <c r="H56" s="115">
        <v>0</v>
      </c>
      <c r="I56" s="116" t="s">
        <v>77</v>
      </c>
      <c r="J56" s="117">
        <f>ROUNDDOWN($G$1*35000,0)</f>
        <v>35000</v>
      </c>
      <c r="K56" s="118">
        <f t="shared" si="8"/>
        <v>0</v>
      </c>
      <c r="L56" s="114"/>
      <c r="M56" s="119">
        <f t="shared" ref="M56:M57" si="24">B56</f>
        <v>0</v>
      </c>
      <c r="N56" s="67">
        <f t="shared" si="23"/>
        <v>0</v>
      </c>
      <c r="O56" s="119"/>
      <c r="P56" s="119" t="str">
        <f t="shared" ref="P56:P57" si="25">E56</f>
        <v>・スマートキー</v>
      </c>
      <c r="Q56" s="119"/>
      <c r="R56" s="119"/>
      <c r="S56" s="115">
        <f t="shared" ref="S56:T57" si="26">H56</f>
        <v>0</v>
      </c>
      <c r="T56" s="119" t="str">
        <f t="shared" si="26"/>
        <v>台</v>
      </c>
      <c r="U56" s="117">
        <f t="shared" si="7"/>
        <v>52500</v>
      </c>
      <c r="V56" s="118">
        <f t="shared" ref="V56:V57" si="27">ROUNDDOWN(S56*U56,0)</f>
        <v>0</v>
      </c>
      <c r="W56" s="119">
        <f t="shared" ref="W56:W57" si="28">L56</f>
        <v>0</v>
      </c>
    </row>
    <row r="57" spans="2:23" s="123" customFormat="1" x14ac:dyDescent="0.4">
      <c r="B57" s="112"/>
      <c r="C57" s="114"/>
      <c r="D57" s="113"/>
      <c r="E57" s="114" t="s">
        <v>87</v>
      </c>
      <c r="F57" s="113"/>
      <c r="G57" s="114"/>
      <c r="H57" s="115">
        <v>0</v>
      </c>
      <c r="I57" s="116" t="s">
        <v>88</v>
      </c>
      <c r="J57" s="117">
        <f t="shared" ref="J57:J74" si="29">ROUNDDOWN($G$1*0,0)</f>
        <v>0</v>
      </c>
      <c r="K57" s="118">
        <f t="shared" si="8"/>
        <v>0</v>
      </c>
      <c r="L57" s="114"/>
      <c r="M57" s="119">
        <f t="shared" si="24"/>
        <v>0</v>
      </c>
      <c r="N57" s="67">
        <f t="shared" si="23"/>
        <v>0</v>
      </c>
      <c r="O57" s="119"/>
      <c r="P57" s="119" t="str">
        <f t="shared" si="25"/>
        <v>・ハンガーパイプ（取付金物共）</v>
      </c>
      <c r="Q57" s="119"/>
      <c r="R57" s="119"/>
      <c r="S57" s="115">
        <f t="shared" si="26"/>
        <v>0</v>
      </c>
      <c r="T57" s="119" t="str">
        <f t="shared" si="26"/>
        <v>ｾｯﾄ</v>
      </c>
      <c r="U57" s="117">
        <f t="shared" si="7"/>
        <v>0</v>
      </c>
      <c r="V57" s="118">
        <f t="shared" si="27"/>
        <v>0</v>
      </c>
      <c r="W57" s="119">
        <f t="shared" si="28"/>
        <v>0</v>
      </c>
    </row>
    <row r="58" spans="2:23" s="123" customFormat="1" x14ac:dyDescent="0.4">
      <c r="B58" s="112"/>
      <c r="C58" s="114"/>
      <c r="D58" s="114"/>
      <c r="E58" s="114" t="s">
        <v>89</v>
      </c>
      <c r="F58" s="114"/>
      <c r="G58" s="120"/>
      <c r="H58" s="115">
        <v>0</v>
      </c>
      <c r="I58" s="116" t="s">
        <v>88</v>
      </c>
      <c r="J58" s="117">
        <f t="shared" si="29"/>
        <v>0</v>
      </c>
      <c r="K58" s="118">
        <f>ROUNDDOWN(H58*J58,0)</f>
        <v>0</v>
      </c>
      <c r="L58" s="114"/>
      <c r="M58" s="119">
        <f>B58</f>
        <v>0</v>
      </c>
      <c r="N58" s="67">
        <f t="shared" si="23"/>
        <v>0</v>
      </c>
      <c r="O58" s="119"/>
      <c r="P58" s="119" t="str">
        <f>E58</f>
        <v>・洋服掛け15×15</v>
      </c>
      <c r="Q58" s="119"/>
      <c r="R58" s="119"/>
      <c r="S58" s="115">
        <f>H58</f>
        <v>0</v>
      </c>
      <c r="T58" s="119" t="str">
        <f>I58</f>
        <v>ｾｯﾄ</v>
      </c>
      <c r="U58" s="117">
        <f t="shared" si="7"/>
        <v>0</v>
      </c>
      <c r="V58" s="118">
        <f>ROUNDDOWN(S58*U58,0)</f>
        <v>0</v>
      </c>
      <c r="W58" s="119">
        <f>L58</f>
        <v>0</v>
      </c>
    </row>
    <row r="59" spans="2:23" s="127" customFormat="1" x14ac:dyDescent="0.4">
      <c r="B59" s="124"/>
      <c r="C59" s="116"/>
      <c r="D59" s="125"/>
      <c r="E59" s="116" t="s">
        <v>90</v>
      </c>
      <c r="F59" s="125"/>
      <c r="G59" s="116"/>
      <c r="H59" s="115">
        <v>0</v>
      </c>
      <c r="I59" s="116" t="s">
        <v>77</v>
      </c>
      <c r="J59" s="117">
        <v>46150</v>
      </c>
      <c r="K59" s="117">
        <f t="shared" ref="K59" si="30">ROUNDDOWN(H59*J59,0)</f>
        <v>0</v>
      </c>
      <c r="L59" s="116" t="s">
        <v>91</v>
      </c>
      <c r="M59" s="126">
        <f t="shared" ref="M59" si="31">B59</f>
        <v>0</v>
      </c>
      <c r="N59" s="67">
        <f t="shared" si="23"/>
        <v>0</v>
      </c>
      <c r="O59" s="126"/>
      <c r="P59" s="126" t="str">
        <f t="shared" ref="P59" si="32">E59</f>
        <v>・洗面器KB-PR012-03-G141</v>
      </c>
      <c r="Q59" s="126"/>
      <c r="R59" s="126"/>
      <c r="S59" s="115">
        <f t="shared" ref="S59:T59" si="33">H59</f>
        <v>0</v>
      </c>
      <c r="T59" s="126" t="str">
        <f t="shared" si="33"/>
        <v>台</v>
      </c>
      <c r="U59" s="117">
        <f t="shared" si="7"/>
        <v>69225</v>
      </c>
      <c r="V59" s="117">
        <f t="shared" ref="V59" si="34">ROUNDDOWN(S59*U59,0)</f>
        <v>0</v>
      </c>
      <c r="W59" s="126" t="str">
        <f t="shared" ref="W59" si="35">L59</f>
        <v>toolbox</v>
      </c>
    </row>
    <row r="60" spans="2:23" s="122" customFormat="1" x14ac:dyDescent="0.4">
      <c r="B60" s="112"/>
      <c r="C60" s="114"/>
      <c r="D60" s="114"/>
      <c r="E60" s="114" t="s">
        <v>92</v>
      </c>
      <c r="F60" s="114"/>
      <c r="G60" s="120"/>
      <c r="H60" s="115">
        <v>0</v>
      </c>
      <c r="I60" s="116" t="s">
        <v>77</v>
      </c>
      <c r="J60" s="117">
        <v>60000</v>
      </c>
      <c r="K60" s="118">
        <f>ROUNDDOWN(H60*J60,0)</f>
        <v>0</v>
      </c>
      <c r="L60" s="114" t="s">
        <v>91</v>
      </c>
      <c r="M60" s="119">
        <f>B60</f>
        <v>0</v>
      </c>
      <c r="N60" s="67">
        <f t="shared" si="23"/>
        <v>0</v>
      </c>
      <c r="O60" s="119"/>
      <c r="P60" s="119" t="str">
        <f>E60</f>
        <v>・混合水栓KB-TP006-01-G141</v>
      </c>
      <c r="Q60" s="119"/>
      <c r="R60" s="119"/>
      <c r="S60" s="115">
        <f>H60</f>
        <v>0</v>
      </c>
      <c r="T60" s="119" t="str">
        <f>I60</f>
        <v>台</v>
      </c>
      <c r="U60" s="117">
        <f t="shared" si="7"/>
        <v>90000</v>
      </c>
      <c r="V60" s="118">
        <f>ROUNDDOWN(S60*U60,0)</f>
        <v>0</v>
      </c>
      <c r="W60" s="119" t="str">
        <f>L60</f>
        <v>toolbox</v>
      </c>
    </row>
    <row r="61" spans="2:23" x14ac:dyDescent="0.4">
      <c r="B61" s="112"/>
      <c r="C61" s="114"/>
      <c r="D61" s="114"/>
      <c r="E61" s="114" t="s">
        <v>93</v>
      </c>
      <c r="F61" s="114"/>
      <c r="G61" s="120"/>
      <c r="H61" s="115">
        <v>0</v>
      </c>
      <c r="I61" s="116" t="s">
        <v>77</v>
      </c>
      <c r="J61" s="117">
        <f>ROUNDDOWN($G$1*80000,0)</f>
        <v>80000</v>
      </c>
      <c r="K61" s="118">
        <f>ROUNDDOWN(H61*J61,0)</f>
        <v>0</v>
      </c>
      <c r="L61" s="121">
        <f>SUM(K51:K61)</f>
        <v>0</v>
      </c>
      <c r="M61" s="119">
        <f>B61</f>
        <v>0</v>
      </c>
      <c r="N61" s="67">
        <f t="shared" si="23"/>
        <v>0</v>
      </c>
      <c r="O61" s="119"/>
      <c r="P61" s="119" t="str">
        <f>E61</f>
        <v>・折り畳み式ベット1200×2000</v>
      </c>
      <c r="Q61" s="119"/>
      <c r="R61" s="119"/>
      <c r="S61" s="115">
        <f>H61</f>
        <v>0</v>
      </c>
      <c r="T61" s="119" t="str">
        <f>I61</f>
        <v>台</v>
      </c>
      <c r="U61" s="117">
        <f t="shared" si="7"/>
        <v>120000</v>
      </c>
      <c r="V61" s="118">
        <f>ROUNDDOWN(S61*U61,0)</f>
        <v>0</v>
      </c>
      <c r="W61" s="119">
        <f>L61</f>
        <v>0</v>
      </c>
    </row>
    <row r="62" spans="2:23" x14ac:dyDescent="0.4">
      <c r="B62" s="112" t="s">
        <v>119</v>
      </c>
      <c r="C62" s="112" t="s">
        <v>148</v>
      </c>
      <c r="D62" s="114"/>
      <c r="E62" s="114" t="s">
        <v>95</v>
      </c>
      <c r="F62" s="114"/>
      <c r="G62" s="120"/>
      <c r="H62" s="115">
        <f>ROUNDUP(5*1.5,2)</f>
        <v>7.5</v>
      </c>
      <c r="I62" s="116" t="s">
        <v>94</v>
      </c>
      <c r="J62" s="117">
        <f>ROUNDDOWN(30000,0)</f>
        <v>30000</v>
      </c>
      <c r="K62" s="118">
        <f>ROUNDDOWN(H62*J62,0)</f>
        <v>225000</v>
      </c>
      <c r="L62" s="121">
        <f>SUM(K62:K62)</f>
        <v>225000</v>
      </c>
      <c r="M62" s="119" t="str">
        <f>B62</f>
        <v>ｵﾌﾟｼｮﾝ</v>
      </c>
      <c r="N62" s="67" t="str">
        <f t="shared" si="23"/>
        <v>３．造作工事</v>
      </c>
      <c r="O62" s="119"/>
      <c r="P62" s="119" t="str">
        <f>E62</f>
        <v>・室内造作（建具取付まで）</v>
      </c>
      <c r="Q62" s="119"/>
      <c r="R62" s="119"/>
      <c r="S62" s="115">
        <f>H62</f>
        <v>7.5</v>
      </c>
      <c r="T62" s="119" t="str">
        <f>I62</f>
        <v>人</v>
      </c>
      <c r="U62" s="117">
        <f>ROUNDDOWN(25000,0)</f>
        <v>25000</v>
      </c>
      <c r="V62" s="118">
        <f>ROUNDDOWN(S62*U62,0)</f>
        <v>187500</v>
      </c>
      <c r="W62" s="119">
        <f>L62</f>
        <v>225000</v>
      </c>
    </row>
    <row r="63" spans="2:23" x14ac:dyDescent="0.4">
      <c r="B63" s="60"/>
      <c r="C63" s="60" t="s">
        <v>147</v>
      </c>
      <c r="D63" s="62"/>
      <c r="E63" s="62"/>
      <c r="F63" s="62"/>
      <c r="G63" s="61"/>
      <c r="H63" s="63">
        <v>1</v>
      </c>
      <c r="I63" s="64" t="s">
        <v>85</v>
      </c>
      <c r="J63" s="65">
        <f t="shared" si="29"/>
        <v>0</v>
      </c>
      <c r="K63" s="66">
        <f t="shared" ref="K63" si="36">ROUNDDOWN(H63*J63,0)</f>
        <v>0</v>
      </c>
      <c r="L63" s="61"/>
      <c r="M63" s="67">
        <f t="shared" ref="M63:N74" si="37">B63</f>
        <v>0</v>
      </c>
      <c r="N63" s="67" t="str">
        <f t="shared" si="23"/>
        <v>４．各種養生（床養生マット、壁ビニールシート等）</v>
      </c>
      <c r="O63" s="67"/>
      <c r="P63" s="62"/>
      <c r="Q63" s="62"/>
      <c r="R63" s="61"/>
      <c r="S63" s="63">
        <f t="shared" ref="S63:T67" si="38">H63</f>
        <v>1</v>
      </c>
      <c r="T63" s="67" t="str">
        <f t="shared" si="38"/>
        <v>式</v>
      </c>
      <c r="U63" s="65">
        <f t="shared" ref="U63" si="39">ROUNDDOWN(J63*$K$1,0)</f>
        <v>0</v>
      </c>
      <c r="V63" s="66">
        <f t="shared" ref="V63" si="40">ROUNDDOWN(S63*U63,0)</f>
        <v>0</v>
      </c>
      <c r="W63" s="67">
        <f t="shared" ref="W63:W67" si="41">L63</f>
        <v>0</v>
      </c>
    </row>
    <row r="64" spans="2:23" x14ac:dyDescent="0.4">
      <c r="B64" s="141" t="s">
        <v>119</v>
      </c>
      <c r="C64" s="141" t="s">
        <v>124</v>
      </c>
      <c r="D64" s="143"/>
      <c r="E64" s="143"/>
      <c r="F64" s="143"/>
      <c r="G64" s="142"/>
      <c r="H64" s="144">
        <v>1</v>
      </c>
      <c r="I64" s="145" t="s">
        <v>85</v>
      </c>
      <c r="J64" s="146"/>
      <c r="K64" s="147">
        <f>ROUNDDOWN(SUM(K48:K63)*$J$1,0)</f>
        <v>83929</v>
      </c>
      <c r="L64" s="142"/>
      <c r="M64" s="141" t="str">
        <f t="shared" si="37"/>
        <v>ｵﾌﾟｼｮﾝ</v>
      </c>
      <c r="N64" s="148"/>
      <c r="O64" s="148"/>
      <c r="P64" s="143"/>
      <c r="Q64" s="143"/>
      <c r="R64" s="142"/>
      <c r="S64" s="144">
        <f t="shared" si="38"/>
        <v>1</v>
      </c>
      <c r="T64" s="141" t="str">
        <f t="shared" si="38"/>
        <v>式</v>
      </c>
      <c r="U64" s="146"/>
      <c r="V64" s="147">
        <f>ROUNDDOWN(SUM(V48:V63)*$J$1,0)</f>
        <v>103394</v>
      </c>
      <c r="W64" s="148">
        <f t="shared" si="41"/>
        <v>0</v>
      </c>
    </row>
    <row r="65" spans="2:23" s="122" customFormat="1" x14ac:dyDescent="0.4">
      <c r="B65" s="128" t="s">
        <v>136</v>
      </c>
      <c r="C65" s="129"/>
      <c r="D65" s="129"/>
      <c r="E65" s="129"/>
      <c r="F65" s="129"/>
      <c r="G65" s="130"/>
      <c r="H65" s="131"/>
      <c r="I65" s="132"/>
      <c r="J65" s="133"/>
      <c r="K65" s="134">
        <f>SUM(K48:K64)</f>
        <v>643460</v>
      </c>
      <c r="L65" s="129" t="s">
        <v>71</v>
      </c>
      <c r="M65" s="135" t="str">
        <f t="shared" si="37"/>
        <v>【オプション価格計】</v>
      </c>
      <c r="N65" s="135"/>
      <c r="O65" s="135"/>
      <c r="P65" s="135">
        <f t="shared" ref="P65" si="42">E65</f>
        <v>0</v>
      </c>
      <c r="Q65" s="135"/>
      <c r="R65" s="135"/>
      <c r="S65" s="131">
        <f t="shared" si="38"/>
        <v>0</v>
      </c>
      <c r="T65" s="135">
        <f t="shared" si="38"/>
        <v>0</v>
      </c>
      <c r="U65" s="133">
        <f t="shared" ref="U65:U67" si="43">ROUNDDOWN(J65*$K$1,0)</f>
        <v>0</v>
      </c>
      <c r="V65" s="134">
        <f>SUM(V48:V64)</f>
        <v>792690</v>
      </c>
      <c r="W65" s="135" t="str">
        <f t="shared" si="41"/>
        <v>クリア塗装品</v>
      </c>
    </row>
    <row r="66" spans="2:23" x14ac:dyDescent="0.4">
      <c r="B66" s="60" t="s">
        <v>125</v>
      </c>
      <c r="C66" s="60" t="s">
        <v>126</v>
      </c>
      <c r="D66" s="62"/>
      <c r="E66" s="62"/>
      <c r="F66" s="62"/>
      <c r="G66" s="61"/>
      <c r="H66" s="63">
        <v>1</v>
      </c>
      <c r="I66" s="64" t="s">
        <v>85</v>
      </c>
      <c r="J66" s="65">
        <v>0</v>
      </c>
      <c r="K66" s="66">
        <f t="shared" ref="K66:K67" si="44">ROUNDDOWN(H66*J66,0)</f>
        <v>0</v>
      </c>
      <c r="L66" s="61"/>
      <c r="M66" s="60" t="str">
        <f t="shared" si="37"/>
        <v>別途</v>
      </c>
      <c r="N66" s="67" t="str">
        <f t="shared" si="37"/>
        <v>１．運送費</v>
      </c>
      <c r="O66" s="67"/>
      <c r="P66" s="62"/>
      <c r="Q66" s="62"/>
      <c r="R66" s="61"/>
      <c r="S66" s="63">
        <f t="shared" si="38"/>
        <v>1</v>
      </c>
      <c r="T66" s="60" t="str">
        <f t="shared" si="38"/>
        <v>式</v>
      </c>
      <c r="U66" s="65">
        <f t="shared" si="43"/>
        <v>0</v>
      </c>
      <c r="V66" s="66">
        <f t="shared" ref="V66:V68" si="45">ROUNDDOWN(S66*U66,0)</f>
        <v>0</v>
      </c>
      <c r="W66" s="67">
        <f t="shared" si="41"/>
        <v>0</v>
      </c>
    </row>
    <row r="67" spans="2:23" x14ac:dyDescent="0.4">
      <c r="B67" s="60"/>
      <c r="C67" s="60" t="s">
        <v>129</v>
      </c>
      <c r="D67" s="62"/>
      <c r="E67" s="62"/>
      <c r="F67" s="62"/>
      <c r="G67" s="61"/>
      <c r="H67" s="63">
        <v>1</v>
      </c>
      <c r="I67" s="64" t="s">
        <v>85</v>
      </c>
      <c r="J67" s="65">
        <v>0</v>
      </c>
      <c r="K67" s="66">
        <f t="shared" si="44"/>
        <v>0</v>
      </c>
      <c r="L67" s="61"/>
      <c r="M67" s="60">
        <f t="shared" si="37"/>
        <v>0</v>
      </c>
      <c r="N67" s="67" t="str">
        <f t="shared" si="37"/>
        <v>２．設計監理及び確認申請費</v>
      </c>
      <c r="O67" s="67"/>
      <c r="P67" s="62"/>
      <c r="Q67" s="62"/>
      <c r="R67" s="61"/>
      <c r="S67" s="63">
        <f t="shared" si="38"/>
        <v>1</v>
      </c>
      <c r="T67" s="60" t="str">
        <f t="shared" si="38"/>
        <v>式</v>
      </c>
      <c r="U67" s="65">
        <f t="shared" si="43"/>
        <v>0</v>
      </c>
      <c r="V67" s="66">
        <f t="shared" si="45"/>
        <v>0</v>
      </c>
      <c r="W67" s="67">
        <f t="shared" si="41"/>
        <v>0</v>
      </c>
    </row>
    <row r="68" spans="2:23" x14ac:dyDescent="0.4">
      <c r="B68" s="60"/>
      <c r="C68" s="60" t="s">
        <v>127</v>
      </c>
      <c r="D68" s="62"/>
      <c r="E68" s="62"/>
      <c r="F68" s="62"/>
      <c r="G68" s="61"/>
      <c r="H68" s="63">
        <v>1</v>
      </c>
      <c r="I68" s="64" t="s">
        <v>85</v>
      </c>
      <c r="J68" s="65">
        <f t="shared" si="29"/>
        <v>0</v>
      </c>
      <c r="K68" s="66">
        <f>ROUNDDOWN(H68*J68,0)</f>
        <v>0</v>
      </c>
      <c r="L68" s="61"/>
      <c r="M68" s="67">
        <f>B68</f>
        <v>0</v>
      </c>
      <c r="N68" s="67" t="str">
        <f t="shared" si="37"/>
        <v>３．梱包養生</v>
      </c>
      <c r="O68" s="67"/>
      <c r="P68" s="62"/>
      <c r="Q68" s="62"/>
      <c r="R68" s="61"/>
      <c r="S68" s="63">
        <f>H68</f>
        <v>1</v>
      </c>
      <c r="T68" s="67" t="str">
        <f>I68</f>
        <v>式</v>
      </c>
      <c r="U68" s="65">
        <f>ROUNDDOWN(J68*$K$1,0)</f>
        <v>0</v>
      </c>
      <c r="V68" s="66">
        <f>ROUNDDOWN(S68*U68,0)</f>
        <v>0</v>
      </c>
      <c r="W68" s="67">
        <f>L68</f>
        <v>0</v>
      </c>
    </row>
    <row r="69" spans="2:23" x14ac:dyDescent="0.4">
      <c r="B69" s="60"/>
      <c r="C69" s="60" t="s">
        <v>130</v>
      </c>
      <c r="D69" s="62"/>
      <c r="E69" s="62"/>
      <c r="F69" s="62"/>
      <c r="G69" s="61"/>
      <c r="H69" s="63">
        <v>1</v>
      </c>
      <c r="I69" s="64" t="s">
        <v>85</v>
      </c>
      <c r="J69" s="65">
        <f t="shared" si="29"/>
        <v>0</v>
      </c>
      <c r="K69" s="66">
        <f>ROUNDDOWN(H69*J69,0)</f>
        <v>0</v>
      </c>
      <c r="L69" s="61"/>
      <c r="M69" s="67">
        <f>B69</f>
        <v>0</v>
      </c>
      <c r="N69" s="67" t="str">
        <f t="shared" si="37"/>
        <v>４．現場設置工事</v>
      </c>
      <c r="O69" s="67"/>
      <c r="P69" s="62"/>
      <c r="Q69" s="62"/>
      <c r="R69" s="61"/>
      <c r="S69" s="63">
        <f>H69</f>
        <v>1</v>
      </c>
      <c r="T69" s="67" t="str">
        <f>I69</f>
        <v>式</v>
      </c>
      <c r="U69" s="65">
        <f>ROUNDDOWN(J69*$K$1,0)</f>
        <v>0</v>
      </c>
      <c r="V69" s="66">
        <f>ROUNDDOWN(S69*U69,0)</f>
        <v>0</v>
      </c>
      <c r="W69" s="67">
        <f>L69</f>
        <v>0</v>
      </c>
    </row>
    <row r="70" spans="2:23" x14ac:dyDescent="0.4">
      <c r="B70" s="60"/>
      <c r="C70" s="60" t="s">
        <v>131</v>
      </c>
      <c r="D70" s="62"/>
      <c r="E70" s="62" t="s">
        <v>96</v>
      </c>
      <c r="F70" s="62"/>
      <c r="G70" s="61"/>
      <c r="H70" s="63">
        <f>ROUNDUP(1,2)</f>
        <v>1</v>
      </c>
      <c r="I70" s="64" t="s">
        <v>85</v>
      </c>
      <c r="J70" s="65">
        <f>ROUNDDOWN($G$1*0,0)</f>
        <v>0</v>
      </c>
      <c r="K70" s="66">
        <f t="shared" si="0"/>
        <v>0</v>
      </c>
      <c r="L70" s="61" t="s">
        <v>122</v>
      </c>
      <c r="M70" s="67">
        <f t="shared" si="1"/>
        <v>0</v>
      </c>
      <c r="N70" s="67" t="str">
        <f t="shared" si="37"/>
        <v>５．電気設備工事</v>
      </c>
      <c r="O70" s="67"/>
      <c r="P70" s="67" t="str">
        <f t="shared" si="2"/>
        <v>・照明器具含む</v>
      </c>
      <c r="Q70" s="67"/>
      <c r="R70" s="67"/>
      <c r="S70" s="63">
        <f t="shared" si="3"/>
        <v>1</v>
      </c>
      <c r="T70" s="67" t="str">
        <f t="shared" si="3"/>
        <v>式</v>
      </c>
      <c r="U70" s="65">
        <f t="shared" si="4"/>
        <v>0</v>
      </c>
      <c r="V70" s="66">
        <f t="shared" si="5"/>
        <v>0</v>
      </c>
      <c r="W70" s="67" t="str">
        <f t="shared" si="6"/>
        <v>別途工事</v>
      </c>
    </row>
    <row r="71" spans="2:23" x14ac:dyDescent="0.4">
      <c r="B71" s="60"/>
      <c r="C71" s="60" t="s">
        <v>128</v>
      </c>
      <c r="D71" s="62"/>
      <c r="E71" s="62" t="s">
        <v>97</v>
      </c>
      <c r="F71" s="62"/>
      <c r="G71" s="61"/>
      <c r="H71" s="63">
        <f>ROUNDUP(1,2)</f>
        <v>1</v>
      </c>
      <c r="I71" s="64" t="s">
        <v>85</v>
      </c>
      <c r="J71" s="65">
        <f t="shared" si="29"/>
        <v>0</v>
      </c>
      <c r="K71" s="66">
        <f t="shared" si="0"/>
        <v>0</v>
      </c>
      <c r="L71" s="61"/>
      <c r="M71" s="67">
        <f t="shared" si="1"/>
        <v>0</v>
      </c>
      <c r="N71" s="67" t="str">
        <f t="shared" si="37"/>
        <v>６．給排水給湯設備工事</v>
      </c>
      <c r="O71" s="67"/>
      <c r="P71" s="67" t="str">
        <f t="shared" si="2"/>
        <v>・敷地状況によって別途見積</v>
      </c>
      <c r="Q71" s="67"/>
      <c r="R71" s="67"/>
      <c r="S71" s="63">
        <f t="shared" si="3"/>
        <v>1</v>
      </c>
      <c r="T71" s="67" t="str">
        <f t="shared" si="3"/>
        <v>式</v>
      </c>
      <c r="U71" s="65">
        <f t="shared" si="4"/>
        <v>0</v>
      </c>
      <c r="V71" s="66">
        <f t="shared" si="5"/>
        <v>0</v>
      </c>
      <c r="W71" s="67">
        <f t="shared" si="6"/>
        <v>0</v>
      </c>
    </row>
    <row r="72" spans="2:23" x14ac:dyDescent="0.4">
      <c r="B72" s="60"/>
      <c r="C72" s="60" t="s">
        <v>132</v>
      </c>
      <c r="D72" s="62"/>
      <c r="E72" s="62"/>
      <c r="F72" s="62"/>
      <c r="G72" s="61"/>
      <c r="H72" s="63">
        <f>ROUNDUP(1,2)</f>
        <v>1</v>
      </c>
      <c r="I72" s="64" t="s">
        <v>85</v>
      </c>
      <c r="J72" s="65">
        <f t="shared" si="29"/>
        <v>0</v>
      </c>
      <c r="K72" s="66">
        <f t="shared" si="0"/>
        <v>0</v>
      </c>
      <c r="L72" s="61"/>
      <c r="M72" s="67">
        <f t="shared" si="1"/>
        <v>0</v>
      </c>
      <c r="N72" s="67" t="str">
        <f t="shared" si="37"/>
        <v>７．基礎工事（設置後工事）</v>
      </c>
      <c r="O72" s="67"/>
      <c r="P72" s="67">
        <f t="shared" si="2"/>
        <v>0</v>
      </c>
      <c r="Q72" s="67"/>
      <c r="R72" s="67"/>
      <c r="S72" s="63">
        <f t="shared" si="3"/>
        <v>1</v>
      </c>
      <c r="T72" s="67" t="str">
        <f t="shared" si="3"/>
        <v>式</v>
      </c>
      <c r="U72" s="65">
        <f t="shared" si="4"/>
        <v>0</v>
      </c>
      <c r="V72" s="66">
        <f t="shared" si="5"/>
        <v>0</v>
      </c>
      <c r="W72" s="67">
        <f t="shared" si="6"/>
        <v>0</v>
      </c>
    </row>
    <row r="73" spans="2:23" x14ac:dyDescent="0.4">
      <c r="B73" s="60"/>
      <c r="C73" s="60" t="s">
        <v>149</v>
      </c>
      <c r="D73" s="62"/>
      <c r="E73" s="62"/>
      <c r="F73" s="62"/>
      <c r="G73" s="61"/>
      <c r="H73" s="63">
        <f>ROUNDUP(1,2)</f>
        <v>1</v>
      </c>
      <c r="I73" s="64" t="s">
        <v>85</v>
      </c>
      <c r="J73" s="65">
        <f t="shared" si="29"/>
        <v>0</v>
      </c>
      <c r="K73" s="66">
        <f>H73*J73</f>
        <v>0</v>
      </c>
      <c r="L73" s="61" t="s">
        <v>99</v>
      </c>
      <c r="M73" s="60">
        <f t="shared" si="1"/>
        <v>0</v>
      </c>
      <c r="N73" s="67" t="str">
        <f t="shared" si="37"/>
        <v>８．廃材処分費（家庭用ごみは別途料金が発生します）</v>
      </c>
      <c r="O73" s="67"/>
      <c r="P73" s="62"/>
      <c r="Q73" s="62"/>
      <c r="R73" s="61"/>
      <c r="S73" s="63">
        <f t="shared" si="3"/>
        <v>1</v>
      </c>
      <c r="T73" s="60" t="str">
        <f t="shared" si="3"/>
        <v>式</v>
      </c>
      <c r="U73" s="65">
        <f t="shared" si="4"/>
        <v>0</v>
      </c>
      <c r="V73" s="66">
        <f>S73*U73</f>
        <v>0</v>
      </c>
      <c r="W73" s="67" t="str">
        <f t="shared" si="6"/>
        <v>トン袋のみ</v>
      </c>
    </row>
    <row r="74" spans="2:23" x14ac:dyDescent="0.4">
      <c r="B74" s="60"/>
      <c r="C74" s="60" t="s">
        <v>134</v>
      </c>
      <c r="D74" s="62"/>
      <c r="E74" s="62"/>
      <c r="F74" s="62"/>
      <c r="G74" s="61"/>
      <c r="H74" s="63">
        <v>1</v>
      </c>
      <c r="I74" s="64" t="s">
        <v>85</v>
      </c>
      <c r="J74" s="65">
        <f t="shared" si="29"/>
        <v>0</v>
      </c>
      <c r="K74" s="66">
        <f>ROUNDDOWN(SUM(K66:K73)*$J$1,0)</f>
        <v>0</v>
      </c>
      <c r="L74" s="61"/>
      <c r="M74" s="60">
        <f t="shared" si="1"/>
        <v>0</v>
      </c>
      <c r="N74" s="67" t="str">
        <f t="shared" si="37"/>
        <v>９．別途現場諸費用（交通費、労災、安全管理費等）</v>
      </c>
      <c r="O74" s="67"/>
      <c r="P74" s="62"/>
      <c r="Q74" s="62"/>
      <c r="R74" s="61"/>
      <c r="S74" s="63">
        <f t="shared" si="3"/>
        <v>1</v>
      </c>
      <c r="T74" s="60" t="str">
        <f t="shared" si="3"/>
        <v>式</v>
      </c>
      <c r="U74" s="65"/>
      <c r="V74" s="66">
        <f>S74*U74</f>
        <v>0</v>
      </c>
      <c r="W74" s="67">
        <f t="shared" si="6"/>
        <v>0</v>
      </c>
    </row>
    <row r="75" spans="2:23" s="122" customFormat="1" x14ac:dyDescent="0.4">
      <c r="B75" s="149" t="s">
        <v>135</v>
      </c>
      <c r="C75" s="150"/>
      <c r="D75" s="150"/>
      <c r="E75" s="150"/>
      <c r="F75" s="150"/>
      <c r="G75" s="151"/>
      <c r="H75" s="152"/>
      <c r="I75" s="153"/>
      <c r="J75" s="154"/>
      <c r="K75" s="155">
        <f>SUM(K66:K74)</f>
        <v>0</v>
      </c>
      <c r="L75" s="150" t="s">
        <v>71</v>
      </c>
      <c r="M75" s="156" t="str">
        <f t="shared" si="1"/>
        <v>【別途工事計】</v>
      </c>
      <c r="N75" s="156"/>
      <c r="O75" s="156"/>
      <c r="P75" s="156">
        <f t="shared" ref="P75" si="46">E75</f>
        <v>0</v>
      </c>
      <c r="Q75" s="156"/>
      <c r="R75" s="156"/>
      <c r="S75" s="152">
        <f t="shared" ref="S75:T75" si="47">H75</f>
        <v>0</v>
      </c>
      <c r="T75" s="156">
        <f t="shared" si="47"/>
        <v>0</v>
      </c>
      <c r="U75" s="154">
        <f t="shared" ref="U75" si="48">ROUNDDOWN(J75*$K$1,0)</f>
        <v>0</v>
      </c>
      <c r="V75" s="155">
        <f>SUM(V66:V74)</f>
        <v>0</v>
      </c>
      <c r="W75" s="156" t="str">
        <f t="shared" si="6"/>
        <v>クリア塗装品</v>
      </c>
    </row>
    <row r="76" spans="2:23" x14ac:dyDescent="0.4">
      <c r="B76" s="98"/>
      <c r="C76" s="99"/>
      <c r="D76" s="99"/>
      <c r="E76" s="99"/>
      <c r="F76" s="99"/>
      <c r="G76" s="99"/>
      <c r="H76" s="70" t="s">
        <v>100</v>
      </c>
      <c r="I76" s="71"/>
      <c r="J76" s="72"/>
      <c r="K76" s="73">
        <f>SUM(K47,K65,K75)</f>
        <v>2296709</v>
      </c>
      <c r="L76" s="70" t="s">
        <v>101</v>
      </c>
      <c r="M76" s="137"/>
      <c r="N76" s="138"/>
      <c r="O76" s="138"/>
      <c r="P76" s="138"/>
      <c r="Q76" s="138"/>
      <c r="R76" s="138"/>
      <c r="S76" s="70" t="s">
        <v>100</v>
      </c>
      <c r="T76" s="71"/>
      <c r="U76" s="72"/>
      <c r="V76" s="73">
        <f>SUM(V47,V65,V75)</f>
        <v>3272508</v>
      </c>
      <c r="W76" s="70" t="s">
        <v>101</v>
      </c>
    </row>
    <row r="77" spans="2:23" x14ac:dyDescent="0.4">
      <c r="B77" s="98"/>
      <c r="C77" s="99"/>
      <c r="D77" s="99"/>
      <c r="E77" s="99"/>
      <c r="F77" s="99"/>
      <c r="G77" s="99"/>
      <c r="H77" s="74" t="s">
        <v>102</v>
      </c>
      <c r="I77" s="75"/>
      <c r="J77" s="76"/>
      <c r="K77" s="77">
        <v>-709</v>
      </c>
      <c r="L77" s="76">
        <f>SUM(K76:K77)</f>
        <v>2296000</v>
      </c>
      <c r="M77" s="137"/>
      <c r="N77" s="138"/>
      <c r="O77" s="138"/>
      <c r="P77" s="138"/>
      <c r="Q77" s="138"/>
      <c r="R77" s="138"/>
      <c r="S77" s="166" t="s">
        <v>102</v>
      </c>
      <c r="T77" s="167"/>
      <c r="U77" s="168"/>
      <c r="V77" s="169">
        <v>-508</v>
      </c>
      <c r="W77" s="168">
        <f>SUM(V76:V77)</f>
        <v>3272000</v>
      </c>
    </row>
    <row r="78" spans="2:23" x14ac:dyDescent="0.4">
      <c r="B78" s="98"/>
      <c r="C78" s="99"/>
      <c r="D78" s="99"/>
      <c r="E78" s="99"/>
      <c r="F78" s="99"/>
      <c r="G78" s="99"/>
      <c r="H78" s="78" t="s">
        <v>103</v>
      </c>
      <c r="I78" s="79"/>
      <c r="J78" s="79">
        <v>0.1</v>
      </c>
      <c r="K78" s="80">
        <f>ROUNDDOWN(L77*J78,0)</f>
        <v>229600</v>
      </c>
      <c r="L78" s="61"/>
      <c r="M78" s="137"/>
      <c r="N78" s="138"/>
      <c r="O78" s="138"/>
      <c r="P78" s="138"/>
      <c r="Q78" s="138"/>
      <c r="R78" s="138"/>
      <c r="S78" s="78" t="s">
        <v>103</v>
      </c>
      <c r="T78" s="79"/>
      <c r="U78" s="79">
        <v>0.1</v>
      </c>
      <c r="V78" s="80">
        <f>ROUNDDOWN(W77*U78,0)</f>
        <v>327200</v>
      </c>
      <c r="W78" s="61"/>
    </row>
    <row r="79" spans="2:23" x14ac:dyDescent="0.4">
      <c r="B79" s="98"/>
      <c r="C79" s="99"/>
      <c r="D79" s="99"/>
      <c r="E79" s="99"/>
      <c r="F79" s="99"/>
      <c r="G79" s="99"/>
      <c r="H79" s="81" t="s">
        <v>104</v>
      </c>
      <c r="I79" s="82"/>
      <c r="J79" s="83"/>
      <c r="K79" s="84">
        <f>SUM(L77,K78)</f>
        <v>2525600</v>
      </c>
      <c r="L79" s="85"/>
      <c r="M79" s="137"/>
      <c r="N79" s="138"/>
      <c r="O79" s="138"/>
      <c r="P79" s="138"/>
      <c r="Q79" s="138"/>
      <c r="R79" s="138"/>
      <c r="S79" s="161" t="s">
        <v>104</v>
      </c>
      <c r="T79" s="162"/>
      <c r="U79" s="163"/>
      <c r="V79" s="164">
        <f>SUM(W77,V78)</f>
        <v>3599200</v>
      </c>
      <c r="W79" s="165"/>
    </row>
    <row r="80" spans="2:23" ht="18" customHeight="1" x14ac:dyDescent="0.4">
      <c r="B80" s="98"/>
      <c r="C80" s="99"/>
      <c r="D80" s="99"/>
      <c r="E80" s="99"/>
      <c r="F80" s="99"/>
      <c r="G80" s="99"/>
      <c r="H80" s="92"/>
      <c r="I80" s="92"/>
      <c r="J80" s="93"/>
      <c r="K80" s="93"/>
      <c r="L80" s="94"/>
      <c r="M80" s="137"/>
      <c r="N80" s="138"/>
      <c r="O80" s="138"/>
      <c r="P80" s="138"/>
      <c r="Q80" s="138"/>
      <c r="R80" s="138"/>
      <c r="S80" s="136"/>
      <c r="T80" s="136"/>
      <c r="U80" s="97"/>
      <c r="V80" s="93"/>
      <c r="W80" s="94"/>
    </row>
    <row r="81" spans="2:23" ht="18" customHeight="1" x14ac:dyDescent="0.4">
      <c r="B81" s="98"/>
      <c r="C81" s="99"/>
      <c r="D81" s="99"/>
      <c r="E81" s="99"/>
      <c r="F81" s="99"/>
      <c r="G81" s="99"/>
      <c r="H81" s="99"/>
      <c r="I81" s="99"/>
      <c r="J81" s="100"/>
      <c r="K81" s="100"/>
      <c r="L81" s="101"/>
      <c r="M81" s="137"/>
      <c r="N81" s="138"/>
      <c r="O81" s="138"/>
      <c r="P81" s="138"/>
      <c r="Q81" s="138"/>
      <c r="R81" s="138"/>
      <c r="S81" s="138"/>
      <c r="T81" s="138"/>
      <c r="U81" s="104"/>
      <c r="V81" s="100"/>
      <c r="W81" s="101"/>
    </row>
    <row r="82" spans="2:23" ht="18" customHeight="1" x14ac:dyDescent="0.4">
      <c r="B82" s="98"/>
      <c r="C82" s="99"/>
      <c r="D82" s="99"/>
      <c r="E82" s="99"/>
      <c r="F82" s="99"/>
      <c r="G82" s="99"/>
      <c r="H82" s="99"/>
      <c r="I82" s="99"/>
      <c r="J82" s="100"/>
      <c r="K82" s="100"/>
      <c r="L82" s="101"/>
      <c r="M82" s="137"/>
      <c r="N82" s="138"/>
      <c r="O82" s="138"/>
      <c r="P82" s="138"/>
      <c r="Q82" s="138"/>
      <c r="R82" s="138"/>
      <c r="S82" s="138"/>
      <c r="T82" s="138"/>
      <c r="U82" s="104"/>
      <c r="V82" s="100"/>
      <c r="W82" s="101"/>
    </row>
    <row r="83" spans="2:23" ht="18" customHeight="1" x14ac:dyDescent="0.4">
      <c r="B83" s="98"/>
      <c r="C83" s="99"/>
      <c r="D83" s="99"/>
      <c r="E83" s="99"/>
      <c r="F83" s="99"/>
      <c r="G83" s="99"/>
      <c r="H83" s="99"/>
      <c r="I83" s="99"/>
      <c r="J83" s="100"/>
      <c r="K83" s="100"/>
      <c r="L83" s="101"/>
      <c r="M83" s="137"/>
      <c r="N83" s="138"/>
      <c r="O83" s="138"/>
      <c r="P83" s="138"/>
      <c r="Q83" s="138"/>
      <c r="R83" s="138"/>
      <c r="S83" s="138"/>
      <c r="T83" s="138"/>
      <c r="U83" s="104"/>
      <c r="V83" s="100"/>
      <c r="W83" s="101"/>
    </row>
    <row r="84" spans="2:23" ht="18" customHeight="1" x14ac:dyDescent="0.4">
      <c r="B84" s="98"/>
      <c r="C84" s="99"/>
      <c r="D84" s="99"/>
      <c r="E84" s="99"/>
      <c r="F84" s="99"/>
      <c r="G84" s="99"/>
      <c r="H84" s="99"/>
      <c r="I84" s="99"/>
      <c r="J84" s="100"/>
      <c r="K84" s="100"/>
      <c r="L84" s="101"/>
      <c r="M84" s="137"/>
      <c r="N84" s="138"/>
      <c r="O84" s="138"/>
      <c r="P84" s="138"/>
      <c r="Q84" s="138"/>
      <c r="R84" s="138"/>
      <c r="S84" s="138"/>
      <c r="T84" s="138"/>
      <c r="U84" s="104"/>
      <c r="V84" s="100"/>
      <c r="W84" s="101"/>
    </row>
    <row r="85" spans="2:23" ht="18" customHeight="1" x14ac:dyDescent="0.4">
      <c r="B85" s="98"/>
      <c r="C85" s="99"/>
      <c r="D85" s="99"/>
      <c r="E85" s="99"/>
      <c r="F85" s="99"/>
      <c r="G85" s="99"/>
      <c r="H85" s="99"/>
      <c r="I85" s="99"/>
      <c r="J85" s="100"/>
      <c r="K85" s="100"/>
      <c r="L85" s="101"/>
      <c r="M85" s="137"/>
      <c r="N85" s="138"/>
      <c r="O85" s="138"/>
      <c r="P85" s="138"/>
      <c r="Q85" s="138"/>
      <c r="R85" s="138"/>
      <c r="S85" s="138"/>
      <c r="T85" s="138"/>
      <c r="U85" s="104"/>
      <c r="V85" s="100"/>
      <c r="W85" s="101"/>
    </row>
    <row r="86" spans="2:23" ht="18" customHeight="1" x14ac:dyDescent="0.4">
      <c r="B86" s="98"/>
      <c r="C86" s="99"/>
      <c r="D86" s="99"/>
      <c r="E86" s="99"/>
      <c r="F86" s="99"/>
      <c r="G86" s="99"/>
      <c r="H86" s="99"/>
      <c r="I86" s="99"/>
      <c r="J86" s="100"/>
      <c r="K86" s="100"/>
      <c r="L86" s="101"/>
      <c r="M86" s="137"/>
      <c r="N86" s="138"/>
      <c r="O86" s="138"/>
      <c r="P86" s="138"/>
      <c r="Q86" s="138"/>
      <c r="R86" s="138"/>
      <c r="S86" s="138"/>
      <c r="T86" s="138"/>
      <c r="U86" s="104"/>
      <c r="V86" s="100"/>
      <c r="W86" s="101"/>
    </row>
    <row r="87" spans="2:23" ht="18" customHeight="1" x14ac:dyDescent="0.4">
      <c r="B87" s="98"/>
      <c r="C87" s="99"/>
      <c r="D87" s="99"/>
      <c r="E87" s="99"/>
      <c r="F87" s="99"/>
      <c r="G87" s="99"/>
      <c r="H87" s="99"/>
      <c r="I87" s="99"/>
      <c r="J87" s="100"/>
      <c r="K87" s="100"/>
      <c r="L87" s="101"/>
      <c r="M87" s="137"/>
      <c r="N87" s="138"/>
      <c r="O87" s="138"/>
      <c r="P87" s="138"/>
      <c r="Q87" s="138"/>
      <c r="R87" s="138"/>
      <c r="S87" s="138"/>
      <c r="T87" s="138"/>
      <c r="U87" s="104"/>
      <c r="V87" s="100"/>
      <c r="W87" s="101"/>
    </row>
    <row r="88" spans="2:23" ht="18" customHeight="1" x14ac:dyDescent="0.4">
      <c r="B88" s="98"/>
      <c r="C88" s="99"/>
      <c r="D88" s="99"/>
      <c r="E88" s="99"/>
      <c r="F88" s="99"/>
      <c r="G88" s="99"/>
      <c r="H88" s="99"/>
      <c r="I88" s="99"/>
      <c r="J88" s="100"/>
      <c r="K88" s="100"/>
      <c r="L88" s="101"/>
      <c r="M88" s="137"/>
      <c r="N88" s="138"/>
      <c r="O88" s="138"/>
      <c r="P88" s="138"/>
      <c r="Q88" s="138"/>
      <c r="R88" s="138"/>
      <c r="S88" s="138"/>
      <c r="T88" s="138"/>
      <c r="U88" s="104"/>
      <c r="V88" s="100"/>
      <c r="W88" s="101"/>
    </row>
    <row r="89" spans="2:23" ht="18" customHeight="1" x14ac:dyDescent="0.4">
      <c r="B89" s="98"/>
      <c r="C89" s="99"/>
      <c r="D89" s="99"/>
      <c r="E89" s="99"/>
      <c r="F89" s="99"/>
      <c r="G89" s="99"/>
      <c r="H89" s="99"/>
      <c r="I89" s="99"/>
      <c r="J89" s="100"/>
      <c r="K89" s="100"/>
      <c r="L89" s="101"/>
      <c r="M89" s="137"/>
      <c r="N89" s="138"/>
      <c r="O89" s="138"/>
      <c r="P89" s="138"/>
      <c r="Q89" s="138"/>
      <c r="R89" s="138"/>
      <c r="S89" s="138"/>
      <c r="T89" s="138"/>
      <c r="U89" s="104"/>
      <c r="V89" s="100"/>
      <c r="W89" s="101"/>
    </row>
    <row r="90" spans="2:23" ht="18" customHeight="1" x14ac:dyDescent="0.4">
      <c r="B90" s="98"/>
      <c r="C90" s="99"/>
      <c r="D90" s="99"/>
      <c r="E90" s="99"/>
      <c r="F90" s="99"/>
      <c r="G90" s="99"/>
      <c r="H90" s="99"/>
      <c r="I90" s="99"/>
      <c r="J90" s="100"/>
      <c r="K90" s="100"/>
      <c r="L90" s="101"/>
      <c r="M90" s="137"/>
      <c r="N90" s="138"/>
      <c r="O90" s="138"/>
      <c r="P90" s="138"/>
      <c r="Q90" s="138"/>
      <c r="R90" s="138"/>
      <c r="S90" s="138"/>
      <c r="T90" s="138"/>
      <c r="U90" s="104"/>
      <c r="V90" s="100"/>
      <c r="W90" s="101"/>
    </row>
    <row r="91" spans="2:23" ht="18" customHeight="1" x14ac:dyDescent="0.4">
      <c r="B91" s="98"/>
      <c r="C91" s="99"/>
      <c r="D91" s="99"/>
      <c r="E91" s="99"/>
      <c r="F91" s="99"/>
      <c r="G91" s="99"/>
      <c r="H91" s="99"/>
      <c r="I91" s="99"/>
      <c r="J91" s="100"/>
      <c r="K91" s="100"/>
      <c r="L91" s="101"/>
      <c r="M91" s="137"/>
      <c r="N91" s="138"/>
      <c r="O91" s="138"/>
      <c r="P91" s="138"/>
      <c r="Q91" s="138"/>
      <c r="R91" s="138"/>
      <c r="S91" s="138"/>
      <c r="T91" s="138"/>
      <c r="U91" s="104"/>
      <c r="V91" s="100"/>
      <c r="W91" s="101"/>
    </row>
    <row r="92" spans="2:23" ht="18" customHeight="1" x14ac:dyDescent="0.4">
      <c r="B92" s="98"/>
      <c r="C92" s="99"/>
      <c r="D92" s="99"/>
      <c r="E92" s="99"/>
      <c r="F92" s="99"/>
      <c r="G92" s="99"/>
      <c r="H92" s="99"/>
      <c r="I92" s="99"/>
      <c r="J92" s="100"/>
      <c r="K92" s="100"/>
      <c r="L92" s="101"/>
      <c r="M92" s="137"/>
      <c r="N92" s="138"/>
      <c r="O92" s="138"/>
      <c r="P92" s="138"/>
      <c r="Q92" s="138"/>
      <c r="R92" s="138"/>
      <c r="S92" s="138"/>
      <c r="T92" s="138"/>
      <c r="U92" s="104"/>
      <c r="V92" s="100"/>
      <c r="W92" s="101"/>
    </row>
    <row r="93" spans="2:23" ht="18" customHeight="1" x14ac:dyDescent="0.4">
      <c r="B93" s="98"/>
      <c r="C93" s="99"/>
      <c r="D93" s="99"/>
      <c r="E93" s="99"/>
      <c r="F93" s="99"/>
      <c r="G93" s="99"/>
      <c r="H93" s="99"/>
      <c r="I93" s="99"/>
      <c r="J93" s="100"/>
      <c r="K93" s="100"/>
      <c r="L93" s="101"/>
      <c r="M93" s="137"/>
      <c r="N93" s="138"/>
      <c r="O93" s="138"/>
      <c r="P93" s="138"/>
      <c r="Q93" s="138"/>
      <c r="R93" s="138"/>
      <c r="S93" s="138"/>
      <c r="T93" s="138"/>
      <c r="U93" s="104"/>
      <c r="V93" s="100"/>
      <c r="W93" s="101"/>
    </row>
    <row r="94" spans="2:23" ht="18" customHeight="1" x14ac:dyDescent="0.4">
      <c r="B94" s="98"/>
      <c r="C94" s="99"/>
      <c r="D94" s="99"/>
      <c r="E94" s="99"/>
      <c r="F94" s="99"/>
      <c r="G94" s="99"/>
      <c r="H94" s="99"/>
      <c r="I94" s="99"/>
      <c r="J94" s="100"/>
      <c r="K94" s="100"/>
      <c r="L94" s="101"/>
      <c r="M94" s="137"/>
      <c r="N94" s="138"/>
      <c r="O94" s="138"/>
      <c r="P94" s="138"/>
      <c r="Q94" s="138"/>
      <c r="R94" s="138"/>
      <c r="S94" s="138"/>
      <c r="T94" s="138"/>
      <c r="U94" s="104"/>
      <c r="V94" s="100"/>
      <c r="W94" s="101"/>
    </row>
    <row r="95" spans="2:23" ht="18" customHeight="1" x14ac:dyDescent="0.4">
      <c r="B95" s="98"/>
      <c r="C95" s="99"/>
      <c r="D95" s="99"/>
      <c r="E95" s="99"/>
      <c r="F95" s="99"/>
      <c r="G95" s="99"/>
      <c r="H95" s="99"/>
      <c r="I95" s="99"/>
      <c r="J95" s="100"/>
      <c r="K95" s="100"/>
      <c r="L95" s="101"/>
      <c r="M95" s="137"/>
      <c r="N95" s="138"/>
      <c r="O95" s="138"/>
      <c r="P95" s="138"/>
      <c r="Q95" s="138"/>
      <c r="R95" s="138"/>
      <c r="S95" s="138"/>
      <c r="T95" s="138"/>
      <c r="U95" s="104"/>
      <c r="V95" s="100"/>
      <c r="W95" s="101"/>
    </row>
    <row r="96" spans="2:23" ht="18" customHeight="1" x14ac:dyDescent="0.4">
      <c r="B96" s="98"/>
      <c r="C96" s="99"/>
      <c r="D96" s="99"/>
      <c r="E96" s="99"/>
      <c r="F96" s="99"/>
      <c r="G96" s="99"/>
      <c r="H96" s="99"/>
      <c r="I96" s="99"/>
      <c r="J96" s="100"/>
      <c r="K96" s="100"/>
      <c r="L96" s="101"/>
      <c r="M96" s="137"/>
      <c r="N96" s="138"/>
      <c r="O96" s="138"/>
      <c r="P96" s="138"/>
      <c r="Q96" s="138"/>
      <c r="R96" s="138"/>
      <c r="S96" s="138"/>
      <c r="T96" s="138"/>
      <c r="U96" s="104"/>
      <c r="V96" s="100"/>
      <c r="W96" s="101"/>
    </row>
    <row r="97" spans="2:23" ht="18" customHeight="1" x14ac:dyDescent="0.4">
      <c r="B97" s="98"/>
      <c r="C97" s="99"/>
      <c r="D97" s="99"/>
      <c r="E97" s="99"/>
      <c r="F97" s="99"/>
      <c r="G97" s="99"/>
      <c r="H97" s="99"/>
      <c r="I97" s="99"/>
      <c r="J97" s="100"/>
      <c r="K97" s="100"/>
      <c r="L97" s="101"/>
      <c r="M97" s="137"/>
      <c r="N97" s="138"/>
      <c r="O97" s="138"/>
      <c r="P97" s="138"/>
      <c r="Q97" s="138"/>
      <c r="R97" s="138"/>
      <c r="S97" s="138"/>
      <c r="T97" s="138"/>
      <c r="U97" s="104"/>
      <c r="V97" s="100"/>
      <c r="W97" s="101"/>
    </row>
    <row r="98" spans="2:23" ht="18" customHeight="1" x14ac:dyDescent="0.4">
      <c r="B98" s="98"/>
      <c r="C98" s="99"/>
      <c r="D98" s="99"/>
      <c r="E98" s="99"/>
      <c r="F98" s="99"/>
      <c r="G98" s="99"/>
      <c r="H98" s="99"/>
      <c r="I98" s="99"/>
      <c r="J98" s="100"/>
      <c r="K98" s="100"/>
      <c r="L98" s="101"/>
      <c r="M98" s="137"/>
      <c r="N98" s="138"/>
      <c r="O98" s="138"/>
      <c r="P98" s="138"/>
      <c r="Q98" s="138"/>
      <c r="R98" s="138"/>
      <c r="S98" s="138"/>
      <c r="T98" s="138"/>
      <c r="U98" s="104"/>
      <c r="V98" s="100"/>
      <c r="W98" s="101"/>
    </row>
    <row r="99" spans="2:23" ht="18" customHeight="1" x14ac:dyDescent="0.4">
      <c r="B99" s="98"/>
      <c r="C99" s="99"/>
      <c r="D99" s="99"/>
      <c r="E99" s="99"/>
      <c r="F99" s="99"/>
      <c r="G99" s="99"/>
      <c r="H99" s="99"/>
      <c r="I99" s="99"/>
      <c r="J99" s="100"/>
      <c r="K99" s="100"/>
      <c r="L99" s="101"/>
      <c r="M99" s="137"/>
      <c r="N99" s="138"/>
      <c r="O99" s="138"/>
      <c r="P99" s="138"/>
      <c r="Q99" s="138"/>
      <c r="R99" s="138"/>
      <c r="S99" s="138"/>
      <c r="T99" s="138"/>
      <c r="U99" s="104"/>
      <c r="V99" s="100"/>
      <c r="W99" s="101"/>
    </row>
    <row r="100" spans="2:23" ht="18" customHeight="1" x14ac:dyDescent="0.4">
      <c r="B100" s="98"/>
      <c r="C100" s="99"/>
      <c r="D100" s="99"/>
      <c r="E100" s="99"/>
      <c r="F100" s="99"/>
      <c r="G100" s="99"/>
      <c r="H100" s="99"/>
      <c r="I100" s="99"/>
      <c r="J100" s="100"/>
      <c r="K100" s="100"/>
      <c r="L100" s="101"/>
      <c r="M100" s="137"/>
      <c r="N100" s="138"/>
      <c r="O100" s="138"/>
      <c r="P100" s="138"/>
      <c r="Q100" s="138"/>
      <c r="R100" s="138"/>
      <c r="S100" s="138"/>
      <c r="T100" s="138"/>
      <c r="U100" s="104"/>
      <c r="V100" s="100"/>
      <c r="W100" s="101"/>
    </row>
    <row r="101" spans="2:23" ht="18" customHeight="1" x14ac:dyDescent="0.4">
      <c r="B101" s="105"/>
      <c r="C101" s="106"/>
      <c r="D101" s="106"/>
      <c r="E101" s="106"/>
      <c r="F101" s="106"/>
      <c r="G101" s="106"/>
      <c r="H101" s="106"/>
      <c r="I101" s="106"/>
      <c r="J101" s="107"/>
      <c r="K101" s="107"/>
      <c r="L101" s="108"/>
      <c r="M101" s="139"/>
      <c r="N101" s="140"/>
      <c r="O101" s="140"/>
      <c r="P101" s="140"/>
      <c r="Q101" s="140"/>
      <c r="R101" s="140"/>
      <c r="S101" s="140"/>
      <c r="T101" s="140"/>
      <c r="U101" s="111"/>
      <c r="V101" s="107"/>
      <c r="W101" s="108"/>
    </row>
    <row r="102" spans="2:23" ht="18" customHeight="1" x14ac:dyDescent="0.4">
      <c r="B102" s="86"/>
      <c r="C102" s="87"/>
      <c r="D102" s="87"/>
      <c r="E102" s="87"/>
      <c r="F102" s="87"/>
      <c r="G102" s="87"/>
      <c r="H102" s="87"/>
      <c r="I102" s="87"/>
      <c r="J102" s="88"/>
      <c r="K102" s="87"/>
      <c r="L102" s="89"/>
      <c r="M102" s="90"/>
      <c r="N102" s="87"/>
      <c r="O102" s="87"/>
      <c r="P102" s="87"/>
      <c r="Q102" s="87"/>
      <c r="R102" s="87"/>
      <c r="S102" s="87"/>
      <c r="T102" s="87"/>
      <c r="U102" s="88"/>
      <c r="V102" s="87"/>
      <c r="W102" s="89"/>
    </row>
    <row r="103" spans="2:23" ht="18" customHeight="1" x14ac:dyDescent="0.4">
      <c r="B103" s="91"/>
      <c r="C103" s="92"/>
      <c r="D103" s="92"/>
      <c r="E103" s="92"/>
      <c r="F103" s="92"/>
      <c r="G103" s="92"/>
      <c r="H103" s="92"/>
      <c r="I103" s="92"/>
      <c r="J103" s="93"/>
      <c r="K103" s="93"/>
      <c r="L103" s="94"/>
      <c r="M103" s="95"/>
      <c r="N103" s="96"/>
      <c r="O103" s="96"/>
      <c r="P103" s="96"/>
      <c r="Q103" s="96"/>
      <c r="R103" s="96"/>
      <c r="S103" s="96"/>
      <c r="T103" s="96"/>
      <c r="U103" s="97"/>
      <c r="V103" s="93"/>
      <c r="W103" s="94"/>
    </row>
    <row r="104" spans="2:23" ht="18" customHeight="1" x14ac:dyDescent="0.4">
      <c r="B104" s="98"/>
      <c r="C104" s="99"/>
      <c r="D104" s="99"/>
      <c r="E104" s="99"/>
      <c r="F104" s="99"/>
      <c r="G104" s="99"/>
      <c r="H104" s="99"/>
      <c r="I104" s="99"/>
      <c r="J104" s="100"/>
      <c r="K104" s="100"/>
      <c r="L104" s="101"/>
      <c r="M104" s="102"/>
      <c r="N104" s="103"/>
      <c r="O104" s="103"/>
      <c r="P104" s="103"/>
      <c r="Q104" s="103"/>
      <c r="R104" s="103"/>
      <c r="S104" s="103"/>
      <c r="T104" s="103"/>
      <c r="U104" s="104"/>
      <c r="V104" s="100"/>
      <c r="W104" s="101"/>
    </row>
    <row r="105" spans="2:23" ht="18" customHeight="1" x14ac:dyDescent="0.4">
      <c r="B105" s="98"/>
      <c r="C105" s="99"/>
      <c r="D105" s="99"/>
      <c r="E105" s="99"/>
      <c r="F105" s="99"/>
      <c r="G105" s="99"/>
      <c r="H105" s="99"/>
      <c r="I105" s="99"/>
      <c r="J105" s="100"/>
      <c r="K105" s="100"/>
      <c r="L105" s="101"/>
      <c r="M105" s="102"/>
      <c r="N105" s="103"/>
      <c r="O105" s="103"/>
      <c r="P105" s="103"/>
      <c r="Q105" s="103"/>
      <c r="R105" s="103"/>
      <c r="S105" s="103"/>
      <c r="T105" s="103"/>
      <c r="U105" s="104"/>
      <c r="V105" s="100"/>
      <c r="W105" s="101"/>
    </row>
    <row r="106" spans="2:23" ht="18" customHeight="1" x14ac:dyDescent="0.4">
      <c r="B106" s="98"/>
      <c r="C106" s="99"/>
      <c r="D106" s="99"/>
      <c r="E106" s="99"/>
      <c r="F106" s="99"/>
      <c r="G106" s="99"/>
      <c r="H106" s="99"/>
      <c r="I106" s="99"/>
      <c r="J106" s="100"/>
      <c r="K106" s="100"/>
      <c r="L106" s="101"/>
      <c r="M106" s="102"/>
      <c r="N106" s="103"/>
      <c r="O106" s="103"/>
      <c r="P106" s="103"/>
      <c r="Q106" s="103"/>
      <c r="R106" s="103"/>
      <c r="S106" s="103"/>
      <c r="T106" s="103"/>
      <c r="U106" s="104"/>
      <c r="V106" s="100"/>
      <c r="W106" s="101"/>
    </row>
    <row r="107" spans="2:23" ht="18" customHeight="1" x14ac:dyDescent="0.4">
      <c r="B107" s="98"/>
      <c r="C107" s="99"/>
      <c r="D107" s="99"/>
      <c r="E107" s="99"/>
      <c r="F107" s="99"/>
      <c r="G107" s="99"/>
      <c r="H107" s="99"/>
      <c r="I107" s="99"/>
      <c r="J107" s="100"/>
      <c r="K107" s="100"/>
      <c r="L107" s="101"/>
      <c r="M107" s="102"/>
      <c r="N107" s="103"/>
      <c r="O107" s="103"/>
      <c r="P107" s="103"/>
      <c r="Q107" s="103"/>
      <c r="R107" s="103"/>
      <c r="S107" s="103"/>
      <c r="T107" s="103"/>
      <c r="U107" s="104"/>
      <c r="V107" s="100"/>
      <c r="W107" s="101"/>
    </row>
    <row r="108" spans="2:23" ht="18" customHeight="1" x14ac:dyDescent="0.4">
      <c r="B108" s="98"/>
      <c r="C108" s="99"/>
      <c r="D108" s="99"/>
      <c r="E108" s="99"/>
      <c r="F108" s="99"/>
      <c r="G108" s="99"/>
      <c r="H108" s="99"/>
      <c r="I108" s="99"/>
      <c r="J108" s="100"/>
      <c r="K108" s="100"/>
      <c r="L108" s="101"/>
      <c r="M108" s="102"/>
      <c r="N108" s="103"/>
      <c r="O108" s="103"/>
      <c r="P108" s="103"/>
      <c r="Q108" s="103"/>
      <c r="R108" s="103"/>
      <c r="S108" s="103"/>
      <c r="T108" s="103"/>
      <c r="U108" s="104"/>
      <c r="V108" s="100"/>
      <c r="W108" s="101"/>
    </row>
    <row r="109" spans="2:23" ht="18" customHeight="1" x14ac:dyDescent="0.4">
      <c r="B109" s="98"/>
      <c r="C109" s="99"/>
      <c r="D109" s="99"/>
      <c r="E109" s="99"/>
      <c r="F109" s="99"/>
      <c r="G109" s="99"/>
      <c r="H109" s="99"/>
      <c r="I109" s="99"/>
      <c r="J109" s="100"/>
      <c r="K109" s="100"/>
      <c r="L109" s="101"/>
      <c r="M109" s="102"/>
      <c r="N109" s="103"/>
      <c r="O109" s="103"/>
      <c r="P109" s="103"/>
      <c r="Q109" s="103"/>
      <c r="R109" s="103"/>
      <c r="S109" s="103"/>
      <c r="T109" s="103"/>
      <c r="U109" s="104"/>
      <c r="V109" s="100"/>
      <c r="W109" s="101"/>
    </row>
    <row r="110" spans="2:23" ht="18" customHeight="1" x14ac:dyDescent="0.4">
      <c r="B110" s="98"/>
      <c r="C110" s="99"/>
      <c r="D110" s="99"/>
      <c r="E110" s="99"/>
      <c r="F110" s="99"/>
      <c r="G110" s="99"/>
      <c r="H110" s="99"/>
      <c r="I110" s="99"/>
      <c r="J110" s="100"/>
      <c r="K110" s="100"/>
      <c r="L110" s="101"/>
      <c r="M110" s="102"/>
      <c r="N110" s="103"/>
      <c r="O110" s="103"/>
      <c r="P110" s="103"/>
      <c r="Q110" s="103"/>
      <c r="R110" s="103"/>
      <c r="S110" s="103"/>
      <c r="T110" s="103"/>
      <c r="U110" s="104"/>
      <c r="V110" s="100"/>
      <c r="W110" s="101"/>
    </row>
    <row r="111" spans="2:23" ht="18" customHeight="1" x14ac:dyDescent="0.4">
      <c r="B111" s="98"/>
      <c r="C111" s="99"/>
      <c r="D111" s="99"/>
      <c r="E111" s="99"/>
      <c r="F111" s="99"/>
      <c r="G111" s="99"/>
      <c r="H111" s="99"/>
      <c r="I111" s="99"/>
      <c r="J111" s="100"/>
      <c r="K111" s="100"/>
      <c r="L111" s="101"/>
      <c r="M111" s="102"/>
      <c r="N111" s="103"/>
      <c r="O111" s="103"/>
      <c r="P111" s="103"/>
      <c r="Q111" s="103"/>
      <c r="R111" s="103"/>
      <c r="S111" s="103"/>
      <c r="T111" s="103"/>
      <c r="U111" s="104"/>
      <c r="V111" s="100"/>
      <c r="W111" s="101"/>
    </row>
    <row r="112" spans="2:23" ht="18" customHeight="1" x14ac:dyDescent="0.4">
      <c r="B112" s="105"/>
      <c r="C112" s="106"/>
      <c r="D112" s="106"/>
      <c r="E112" s="106"/>
      <c r="F112" s="106"/>
      <c r="G112" s="106"/>
      <c r="H112" s="106"/>
      <c r="I112" s="106"/>
      <c r="J112" s="107"/>
      <c r="K112" s="107"/>
      <c r="L112" s="108"/>
      <c r="M112" s="109"/>
      <c r="N112" s="110"/>
      <c r="O112" s="110"/>
      <c r="P112" s="110"/>
      <c r="Q112" s="110"/>
      <c r="R112" s="110"/>
      <c r="S112" s="110"/>
      <c r="T112" s="110"/>
      <c r="U112" s="111"/>
      <c r="V112" s="107"/>
      <c r="W112" s="108"/>
    </row>
    <row r="113" spans="2:23" ht="18" customHeight="1" x14ac:dyDescent="0.4">
      <c r="B113" s="86"/>
      <c r="C113" s="87"/>
      <c r="D113" s="87"/>
      <c r="E113" s="87"/>
      <c r="F113" s="87"/>
      <c r="G113" s="87"/>
      <c r="H113" s="87"/>
      <c r="I113" s="87"/>
      <c r="J113" s="88"/>
      <c r="K113" s="87"/>
      <c r="L113" s="89"/>
      <c r="M113" s="90"/>
      <c r="N113" s="87"/>
      <c r="O113" s="87"/>
      <c r="P113" s="87"/>
      <c r="Q113" s="87"/>
      <c r="R113" s="87"/>
      <c r="S113" s="87"/>
      <c r="T113" s="87"/>
      <c r="U113" s="88"/>
      <c r="V113" s="87"/>
      <c r="W113" s="89"/>
    </row>
    <row r="114" spans="2:23" ht="18" customHeight="1" x14ac:dyDescent="0.4">
      <c r="B114" s="91"/>
      <c r="C114" s="92"/>
      <c r="D114" s="92"/>
      <c r="E114" s="92"/>
      <c r="F114" s="92"/>
      <c r="G114" s="92"/>
      <c r="H114" s="92"/>
      <c r="I114" s="92"/>
      <c r="J114" s="93"/>
      <c r="K114" s="93"/>
      <c r="L114" s="94"/>
      <c r="M114" s="95"/>
      <c r="N114" s="96"/>
      <c r="O114" s="96"/>
      <c r="P114" s="96"/>
      <c r="Q114" s="96"/>
      <c r="R114" s="96"/>
      <c r="S114" s="96"/>
      <c r="T114" s="96"/>
      <c r="U114" s="97"/>
      <c r="V114" s="93"/>
      <c r="W114" s="94"/>
    </row>
    <row r="115" spans="2:23" ht="18" customHeight="1" x14ac:dyDescent="0.4">
      <c r="B115" s="98"/>
      <c r="C115" s="99"/>
      <c r="D115" s="99"/>
      <c r="E115" s="99"/>
      <c r="F115" s="99"/>
      <c r="G115" s="99"/>
      <c r="H115" s="99"/>
      <c r="I115" s="99"/>
      <c r="J115" s="100"/>
      <c r="K115" s="100"/>
      <c r="L115" s="101"/>
      <c r="M115" s="102"/>
      <c r="N115" s="103"/>
      <c r="O115" s="103"/>
      <c r="P115" s="103"/>
      <c r="Q115" s="103"/>
      <c r="R115" s="103"/>
      <c r="S115" s="103"/>
      <c r="T115" s="103"/>
      <c r="U115" s="104"/>
      <c r="V115" s="100"/>
      <c r="W115" s="101"/>
    </row>
    <row r="116" spans="2:23" ht="18" customHeight="1" x14ac:dyDescent="0.4">
      <c r="B116" s="98"/>
      <c r="C116" s="99"/>
      <c r="D116" s="99"/>
      <c r="E116" s="99"/>
      <c r="F116" s="99"/>
      <c r="G116" s="99"/>
      <c r="H116" s="99"/>
      <c r="I116" s="99"/>
      <c r="J116" s="100"/>
      <c r="K116" s="100"/>
      <c r="L116" s="101"/>
      <c r="M116" s="102"/>
      <c r="N116" s="103"/>
      <c r="O116" s="103"/>
      <c r="P116" s="103"/>
      <c r="Q116" s="103"/>
      <c r="R116" s="103"/>
      <c r="S116" s="103"/>
      <c r="T116" s="103"/>
      <c r="U116" s="104"/>
      <c r="V116" s="100"/>
      <c r="W116" s="101"/>
    </row>
    <row r="117" spans="2:23" ht="18" customHeight="1" x14ac:dyDescent="0.4">
      <c r="B117" s="98"/>
      <c r="C117" s="99"/>
      <c r="D117" s="99"/>
      <c r="E117" s="99"/>
      <c r="F117" s="99"/>
      <c r="G117" s="99"/>
      <c r="H117" s="99"/>
      <c r="I117" s="99"/>
      <c r="J117" s="100"/>
      <c r="K117" s="100"/>
      <c r="L117" s="101"/>
      <c r="M117" s="102"/>
      <c r="N117" s="103"/>
      <c r="O117" s="103"/>
      <c r="P117" s="103"/>
      <c r="Q117" s="103"/>
      <c r="R117" s="103"/>
      <c r="S117" s="103"/>
      <c r="T117" s="103"/>
      <c r="U117" s="104"/>
      <c r="V117" s="100"/>
      <c r="W117" s="101"/>
    </row>
    <row r="118" spans="2:23" ht="18" customHeight="1" x14ac:dyDescent="0.4">
      <c r="B118" s="98"/>
      <c r="C118" s="99"/>
      <c r="D118" s="99"/>
      <c r="E118" s="99"/>
      <c r="F118" s="99"/>
      <c r="G118" s="99"/>
      <c r="H118" s="99"/>
      <c r="I118" s="99"/>
      <c r="J118" s="100"/>
      <c r="K118" s="100"/>
      <c r="L118" s="101"/>
      <c r="M118" s="102"/>
      <c r="N118" s="103"/>
      <c r="O118" s="103"/>
      <c r="P118" s="103"/>
      <c r="Q118" s="103"/>
      <c r="R118" s="103"/>
      <c r="S118" s="103"/>
      <c r="T118" s="103"/>
      <c r="U118" s="104"/>
      <c r="V118" s="100"/>
      <c r="W118" s="101"/>
    </row>
    <row r="119" spans="2:23" ht="18" customHeight="1" x14ac:dyDescent="0.4">
      <c r="B119" s="98"/>
      <c r="C119" s="99"/>
      <c r="D119" s="99"/>
      <c r="E119" s="99"/>
      <c r="F119" s="99"/>
      <c r="G119" s="99"/>
      <c r="H119" s="99"/>
      <c r="I119" s="99"/>
      <c r="J119" s="100"/>
      <c r="K119" s="100"/>
      <c r="L119" s="101"/>
      <c r="M119" s="102"/>
      <c r="N119" s="103"/>
      <c r="O119" s="103"/>
      <c r="P119" s="103"/>
      <c r="Q119" s="103"/>
      <c r="R119" s="103"/>
      <c r="S119" s="103"/>
      <c r="T119" s="103"/>
      <c r="U119" s="104"/>
      <c r="V119" s="100"/>
      <c r="W119" s="101"/>
    </row>
    <row r="120" spans="2:23" ht="18" customHeight="1" x14ac:dyDescent="0.4">
      <c r="B120" s="98"/>
      <c r="C120" s="99"/>
      <c r="D120" s="99"/>
      <c r="E120" s="99"/>
      <c r="F120" s="99"/>
      <c r="G120" s="99"/>
      <c r="H120" s="99"/>
      <c r="I120" s="99"/>
      <c r="J120" s="100"/>
      <c r="K120" s="100"/>
      <c r="L120" s="101"/>
      <c r="M120" s="102"/>
      <c r="N120" s="103"/>
      <c r="O120" s="103"/>
      <c r="P120" s="103"/>
      <c r="Q120" s="103"/>
      <c r="R120" s="103"/>
      <c r="S120" s="103"/>
      <c r="T120" s="103"/>
      <c r="U120" s="104"/>
      <c r="V120" s="100"/>
      <c r="W120" s="101"/>
    </row>
    <row r="121" spans="2:23" ht="18" customHeight="1" x14ac:dyDescent="0.4">
      <c r="B121" s="98"/>
      <c r="C121" s="99"/>
      <c r="D121" s="99"/>
      <c r="E121" s="99"/>
      <c r="F121" s="99"/>
      <c r="G121" s="99"/>
      <c r="H121" s="99"/>
      <c r="I121" s="99"/>
      <c r="J121" s="100"/>
      <c r="K121" s="100"/>
      <c r="L121" s="101"/>
      <c r="M121" s="102"/>
      <c r="N121" s="103"/>
      <c r="O121" s="103"/>
      <c r="P121" s="103"/>
      <c r="Q121" s="103"/>
      <c r="R121" s="103"/>
      <c r="S121" s="103"/>
      <c r="T121" s="103"/>
      <c r="U121" s="104"/>
      <c r="V121" s="100"/>
      <c r="W121" s="101"/>
    </row>
    <row r="122" spans="2:23" ht="18" customHeight="1" x14ac:dyDescent="0.4">
      <c r="B122" s="98"/>
      <c r="C122" s="99"/>
      <c r="D122" s="99"/>
      <c r="E122" s="99"/>
      <c r="F122" s="99"/>
      <c r="G122" s="99"/>
      <c r="H122" s="99"/>
      <c r="I122" s="99"/>
      <c r="J122" s="100"/>
      <c r="K122" s="100"/>
      <c r="L122" s="101"/>
      <c r="M122" s="102"/>
      <c r="N122" s="103"/>
      <c r="O122" s="103"/>
      <c r="P122" s="103"/>
      <c r="Q122" s="103"/>
      <c r="R122" s="103"/>
      <c r="S122" s="103"/>
      <c r="T122" s="103"/>
      <c r="U122" s="104"/>
      <c r="V122" s="100"/>
      <c r="W122" s="101"/>
    </row>
    <row r="123" spans="2:23" ht="18" customHeight="1" x14ac:dyDescent="0.4">
      <c r="B123" s="105"/>
      <c r="C123" s="106"/>
      <c r="D123" s="106"/>
      <c r="E123" s="106"/>
      <c r="F123" s="106"/>
      <c r="G123" s="106"/>
      <c r="H123" s="106"/>
      <c r="I123" s="106"/>
      <c r="J123" s="107"/>
      <c r="K123" s="107"/>
      <c r="L123" s="108"/>
      <c r="M123" s="109"/>
      <c r="N123" s="110"/>
      <c r="O123" s="110"/>
      <c r="P123" s="110"/>
      <c r="Q123" s="110"/>
      <c r="R123" s="110"/>
      <c r="S123" s="110"/>
      <c r="T123" s="110"/>
      <c r="U123" s="111"/>
      <c r="V123" s="107"/>
      <c r="W123" s="108"/>
    </row>
    <row r="124" spans="2:23" ht="18" customHeight="1" x14ac:dyDescent="0.4">
      <c r="B124" s="86"/>
      <c r="C124" s="87"/>
      <c r="D124" s="87"/>
      <c r="E124" s="87"/>
      <c r="F124" s="87"/>
      <c r="G124" s="87"/>
      <c r="H124" s="87"/>
      <c r="I124" s="87"/>
      <c r="J124" s="88" t="s">
        <v>105</v>
      </c>
      <c r="K124" s="87"/>
      <c r="L124" s="89"/>
      <c r="M124" s="90">
        <f>B124</f>
        <v>0</v>
      </c>
      <c r="N124" s="87"/>
      <c r="O124" s="87"/>
      <c r="P124" s="87"/>
      <c r="Q124" s="87"/>
      <c r="R124" s="87"/>
      <c r="S124" s="87"/>
      <c r="T124" s="87"/>
      <c r="U124" s="88" t="s">
        <v>105</v>
      </c>
      <c r="V124" s="87"/>
      <c r="W124" s="89"/>
    </row>
    <row r="125" spans="2:23" ht="18" customHeight="1" x14ac:dyDescent="0.4">
      <c r="B125" s="91"/>
      <c r="C125" s="92"/>
      <c r="D125" s="92"/>
      <c r="E125" s="92"/>
      <c r="F125" s="92"/>
      <c r="G125" s="92"/>
      <c r="H125" s="92"/>
      <c r="I125" s="92"/>
      <c r="J125" s="93"/>
      <c r="K125" s="93"/>
      <c r="L125" s="94"/>
      <c r="M125" s="95"/>
      <c r="N125" s="96"/>
      <c r="O125" s="96"/>
      <c r="P125" s="96"/>
      <c r="Q125" s="96"/>
      <c r="R125" s="96"/>
      <c r="S125" s="96"/>
      <c r="T125" s="96"/>
      <c r="U125" s="97">
        <f t="shared" ref="U125:U134" si="49">J125</f>
        <v>0</v>
      </c>
      <c r="V125" s="93"/>
      <c r="W125" s="94"/>
    </row>
    <row r="126" spans="2:23" ht="18" customHeight="1" x14ac:dyDescent="0.4">
      <c r="B126" s="98"/>
      <c r="C126" s="99"/>
      <c r="D126" s="99"/>
      <c r="E126" s="99"/>
      <c r="F126" s="99"/>
      <c r="G126" s="99"/>
      <c r="H126" s="99"/>
      <c r="I126" s="99"/>
      <c r="J126" s="100"/>
      <c r="K126" s="100"/>
      <c r="L126" s="101"/>
      <c r="M126" s="102"/>
      <c r="N126" s="103"/>
      <c r="O126" s="103"/>
      <c r="P126" s="103"/>
      <c r="Q126" s="103"/>
      <c r="R126" s="103"/>
      <c r="S126" s="103"/>
      <c r="T126" s="103"/>
      <c r="U126" s="104">
        <f t="shared" si="49"/>
        <v>0</v>
      </c>
      <c r="V126" s="100"/>
      <c r="W126" s="101"/>
    </row>
    <row r="127" spans="2:23" ht="18" customHeight="1" x14ac:dyDescent="0.4">
      <c r="B127" s="98"/>
      <c r="C127" s="99"/>
      <c r="D127" s="99"/>
      <c r="E127" s="99"/>
      <c r="F127" s="99"/>
      <c r="G127" s="99"/>
      <c r="H127" s="99"/>
      <c r="I127" s="99"/>
      <c r="J127" s="100"/>
      <c r="K127" s="100"/>
      <c r="L127" s="101"/>
      <c r="M127" s="102"/>
      <c r="N127" s="103"/>
      <c r="O127" s="103"/>
      <c r="P127" s="103"/>
      <c r="Q127" s="103"/>
      <c r="R127" s="103"/>
      <c r="S127" s="103"/>
      <c r="T127" s="103"/>
      <c r="U127" s="104">
        <f t="shared" si="49"/>
        <v>0</v>
      </c>
      <c r="V127" s="100"/>
      <c r="W127" s="101"/>
    </row>
    <row r="128" spans="2:23" ht="18" customHeight="1" x14ac:dyDescent="0.4">
      <c r="B128" s="98"/>
      <c r="C128" s="99"/>
      <c r="D128" s="99"/>
      <c r="E128" s="99"/>
      <c r="F128" s="99"/>
      <c r="G128" s="99"/>
      <c r="H128" s="99"/>
      <c r="I128" s="99"/>
      <c r="J128" s="100"/>
      <c r="K128" s="100"/>
      <c r="L128" s="101"/>
      <c r="M128" s="102"/>
      <c r="N128" s="103"/>
      <c r="O128" s="103"/>
      <c r="P128" s="103"/>
      <c r="Q128" s="103"/>
      <c r="R128" s="103"/>
      <c r="S128" s="103"/>
      <c r="T128" s="103"/>
      <c r="U128" s="104">
        <f t="shared" si="49"/>
        <v>0</v>
      </c>
      <c r="V128" s="100"/>
      <c r="W128" s="101"/>
    </row>
    <row r="129" spans="2:23" ht="18" customHeight="1" x14ac:dyDescent="0.4">
      <c r="B129" s="98"/>
      <c r="C129" s="99"/>
      <c r="D129" s="99"/>
      <c r="E129" s="99"/>
      <c r="F129" s="99"/>
      <c r="G129" s="99"/>
      <c r="H129" s="99"/>
      <c r="I129" s="99"/>
      <c r="J129" s="100"/>
      <c r="K129" s="100"/>
      <c r="L129" s="101"/>
      <c r="M129" s="102"/>
      <c r="N129" s="103"/>
      <c r="O129" s="103"/>
      <c r="P129" s="103"/>
      <c r="Q129" s="103"/>
      <c r="R129" s="103"/>
      <c r="S129" s="103"/>
      <c r="T129" s="103"/>
      <c r="U129" s="104">
        <f t="shared" si="49"/>
        <v>0</v>
      </c>
      <c r="V129" s="100"/>
      <c r="W129" s="101"/>
    </row>
    <row r="130" spans="2:23" ht="18" customHeight="1" x14ac:dyDescent="0.4">
      <c r="B130" s="98"/>
      <c r="C130" s="99"/>
      <c r="D130" s="99"/>
      <c r="E130" s="99"/>
      <c r="F130" s="99"/>
      <c r="G130" s="99"/>
      <c r="H130" s="99"/>
      <c r="I130" s="99"/>
      <c r="J130" s="100"/>
      <c r="K130" s="100"/>
      <c r="L130" s="101"/>
      <c r="M130" s="102"/>
      <c r="N130" s="103"/>
      <c r="O130" s="103"/>
      <c r="P130" s="103"/>
      <c r="Q130" s="103"/>
      <c r="R130" s="103"/>
      <c r="S130" s="103"/>
      <c r="T130" s="103"/>
      <c r="U130" s="104">
        <f t="shared" si="49"/>
        <v>0</v>
      </c>
      <c r="V130" s="100"/>
      <c r="W130" s="101"/>
    </row>
    <row r="131" spans="2:23" ht="18" customHeight="1" x14ac:dyDescent="0.4">
      <c r="B131" s="98"/>
      <c r="C131" s="99"/>
      <c r="D131" s="99"/>
      <c r="E131" s="99"/>
      <c r="F131" s="99"/>
      <c r="G131" s="99"/>
      <c r="H131" s="99"/>
      <c r="I131" s="99"/>
      <c r="J131" s="100"/>
      <c r="K131" s="100"/>
      <c r="L131" s="101"/>
      <c r="M131" s="102"/>
      <c r="N131" s="103"/>
      <c r="O131" s="103"/>
      <c r="P131" s="103"/>
      <c r="Q131" s="103"/>
      <c r="R131" s="103"/>
      <c r="S131" s="103"/>
      <c r="T131" s="103"/>
      <c r="U131" s="104">
        <f t="shared" si="49"/>
        <v>0</v>
      </c>
      <c r="V131" s="100"/>
      <c r="W131" s="101"/>
    </row>
    <row r="132" spans="2:23" ht="18" customHeight="1" x14ac:dyDescent="0.4">
      <c r="B132" s="98"/>
      <c r="C132" s="99"/>
      <c r="D132" s="99"/>
      <c r="E132" s="99"/>
      <c r="F132" s="99"/>
      <c r="G132" s="99"/>
      <c r="H132" s="99"/>
      <c r="I132" s="99"/>
      <c r="J132" s="100"/>
      <c r="K132" s="100"/>
      <c r="L132" s="101"/>
      <c r="M132" s="102"/>
      <c r="N132" s="103"/>
      <c r="O132" s="103"/>
      <c r="P132" s="103"/>
      <c r="Q132" s="103"/>
      <c r="R132" s="103"/>
      <c r="S132" s="103"/>
      <c r="T132" s="103"/>
      <c r="U132" s="104">
        <f t="shared" si="49"/>
        <v>0</v>
      </c>
      <c r="V132" s="100"/>
      <c r="W132" s="101"/>
    </row>
    <row r="133" spans="2:23" ht="18" customHeight="1" x14ac:dyDescent="0.4">
      <c r="B133" s="98"/>
      <c r="C133" s="99"/>
      <c r="D133" s="99"/>
      <c r="E133" s="99"/>
      <c r="F133" s="99"/>
      <c r="G133" s="99"/>
      <c r="H133" s="99"/>
      <c r="I133" s="99"/>
      <c r="J133" s="100"/>
      <c r="K133" s="100"/>
      <c r="L133" s="101"/>
      <c r="M133" s="102"/>
      <c r="N133" s="103"/>
      <c r="O133" s="103"/>
      <c r="P133" s="103"/>
      <c r="Q133" s="103"/>
      <c r="R133" s="103"/>
      <c r="S133" s="103"/>
      <c r="T133" s="103"/>
      <c r="U133" s="104">
        <f t="shared" si="49"/>
        <v>0</v>
      </c>
      <c r="V133" s="100"/>
      <c r="W133" s="101"/>
    </row>
    <row r="134" spans="2:23" ht="18" customHeight="1" x14ac:dyDescent="0.4">
      <c r="B134" s="105"/>
      <c r="C134" s="106"/>
      <c r="D134" s="106"/>
      <c r="E134" s="106"/>
      <c r="F134" s="106"/>
      <c r="G134" s="106"/>
      <c r="H134" s="106"/>
      <c r="I134" s="106"/>
      <c r="J134" s="107"/>
      <c r="K134" s="107"/>
      <c r="L134" s="108"/>
      <c r="M134" s="109"/>
      <c r="N134" s="110"/>
      <c r="O134" s="110"/>
      <c r="P134" s="110"/>
      <c r="Q134" s="110"/>
      <c r="R134" s="110"/>
      <c r="S134" s="110"/>
      <c r="T134" s="110"/>
      <c r="U134" s="111">
        <f t="shared" si="49"/>
        <v>0</v>
      </c>
      <c r="V134" s="107"/>
      <c r="W134" s="108"/>
    </row>
    <row r="135" spans="2:23" ht="18" customHeight="1" x14ac:dyDescent="0.4">
      <c r="B135" s="86"/>
      <c r="C135" s="87"/>
      <c r="D135" s="87"/>
      <c r="E135" s="87"/>
      <c r="F135" s="87"/>
      <c r="G135" s="87"/>
      <c r="H135" s="87"/>
      <c r="I135" s="87"/>
      <c r="J135" s="88" t="s">
        <v>105</v>
      </c>
      <c r="K135" s="87"/>
      <c r="L135" s="89"/>
      <c r="M135" s="90">
        <f>B135</f>
        <v>0</v>
      </c>
      <c r="N135" s="87"/>
      <c r="O135" s="87"/>
      <c r="P135" s="87"/>
      <c r="Q135" s="87"/>
      <c r="R135" s="87"/>
      <c r="S135" s="87"/>
      <c r="T135" s="87"/>
      <c r="U135" s="88" t="s">
        <v>105</v>
      </c>
      <c r="V135" s="87"/>
      <c r="W135" s="89"/>
    </row>
    <row r="136" spans="2:23" ht="18" customHeight="1" x14ac:dyDescent="0.4">
      <c r="B136" s="91"/>
      <c r="C136" s="92"/>
      <c r="D136" s="92"/>
      <c r="E136" s="92"/>
      <c r="F136" s="92"/>
      <c r="G136" s="92"/>
      <c r="H136" s="92"/>
      <c r="I136" s="92"/>
      <c r="J136" s="93"/>
      <c r="K136" s="93"/>
      <c r="L136" s="94"/>
      <c r="M136" s="95"/>
      <c r="N136" s="96"/>
      <c r="O136" s="96"/>
      <c r="P136" s="96"/>
      <c r="Q136" s="96"/>
      <c r="R136" s="96"/>
      <c r="S136" s="96"/>
      <c r="T136" s="96"/>
      <c r="U136" s="97">
        <f t="shared" ref="U136:U145" si="50">J136</f>
        <v>0</v>
      </c>
      <c r="V136" s="93"/>
      <c r="W136" s="94"/>
    </row>
    <row r="137" spans="2:23" ht="18" customHeight="1" x14ac:dyDescent="0.4">
      <c r="B137" s="98"/>
      <c r="C137" s="99"/>
      <c r="D137" s="99"/>
      <c r="E137" s="99"/>
      <c r="F137" s="99"/>
      <c r="G137" s="99"/>
      <c r="H137" s="99"/>
      <c r="I137" s="99"/>
      <c r="J137" s="100"/>
      <c r="K137" s="100"/>
      <c r="L137" s="101"/>
      <c r="M137" s="102"/>
      <c r="N137" s="103"/>
      <c r="O137" s="103"/>
      <c r="P137" s="103"/>
      <c r="Q137" s="103"/>
      <c r="R137" s="103"/>
      <c r="S137" s="103"/>
      <c r="T137" s="103"/>
      <c r="U137" s="104">
        <f t="shared" si="50"/>
        <v>0</v>
      </c>
      <c r="V137" s="100"/>
      <c r="W137" s="101"/>
    </row>
    <row r="138" spans="2:23" ht="18" customHeight="1" x14ac:dyDescent="0.4">
      <c r="B138" s="98"/>
      <c r="C138" s="99"/>
      <c r="D138" s="99"/>
      <c r="E138" s="99"/>
      <c r="F138" s="99"/>
      <c r="G138" s="99"/>
      <c r="H138" s="99"/>
      <c r="I138" s="99"/>
      <c r="J138" s="100"/>
      <c r="K138" s="100"/>
      <c r="L138" s="101"/>
      <c r="M138" s="102"/>
      <c r="N138" s="103"/>
      <c r="O138" s="103"/>
      <c r="P138" s="103"/>
      <c r="Q138" s="103"/>
      <c r="R138" s="103"/>
      <c r="S138" s="103"/>
      <c r="T138" s="103"/>
      <c r="U138" s="104">
        <f t="shared" si="50"/>
        <v>0</v>
      </c>
      <c r="V138" s="100"/>
      <c r="W138" s="101"/>
    </row>
    <row r="139" spans="2:23" ht="18" customHeight="1" x14ac:dyDescent="0.4">
      <c r="B139" s="98"/>
      <c r="C139" s="99"/>
      <c r="D139" s="99"/>
      <c r="E139" s="99"/>
      <c r="F139" s="99"/>
      <c r="G139" s="99"/>
      <c r="H139" s="99"/>
      <c r="I139" s="99"/>
      <c r="J139" s="100"/>
      <c r="K139" s="100"/>
      <c r="L139" s="101"/>
      <c r="M139" s="102"/>
      <c r="N139" s="103"/>
      <c r="O139" s="103"/>
      <c r="P139" s="103"/>
      <c r="Q139" s="103"/>
      <c r="R139" s="103"/>
      <c r="S139" s="103"/>
      <c r="T139" s="103"/>
      <c r="U139" s="104">
        <f t="shared" si="50"/>
        <v>0</v>
      </c>
      <c r="V139" s="100"/>
      <c r="W139" s="101"/>
    </row>
    <row r="140" spans="2:23" ht="18" customHeight="1" x14ac:dyDescent="0.4">
      <c r="B140" s="98"/>
      <c r="C140" s="99"/>
      <c r="D140" s="99"/>
      <c r="E140" s="99"/>
      <c r="F140" s="99"/>
      <c r="G140" s="99"/>
      <c r="H140" s="99"/>
      <c r="I140" s="99"/>
      <c r="J140" s="100"/>
      <c r="K140" s="100"/>
      <c r="L140" s="101"/>
      <c r="M140" s="102"/>
      <c r="N140" s="103"/>
      <c r="O140" s="103"/>
      <c r="P140" s="103"/>
      <c r="Q140" s="103"/>
      <c r="R140" s="103"/>
      <c r="S140" s="103"/>
      <c r="T140" s="103"/>
      <c r="U140" s="104">
        <f t="shared" si="50"/>
        <v>0</v>
      </c>
      <c r="V140" s="100"/>
      <c r="W140" s="101"/>
    </row>
    <row r="141" spans="2:23" ht="18" customHeight="1" x14ac:dyDescent="0.4">
      <c r="B141" s="98"/>
      <c r="C141" s="99"/>
      <c r="D141" s="99"/>
      <c r="E141" s="99"/>
      <c r="F141" s="99"/>
      <c r="G141" s="99"/>
      <c r="H141" s="99"/>
      <c r="I141" s="99"/>
      <c r="J141" s="100"/>
      <c r="K141" s="100"/>
      <c r="L141" s="101"/>
      <c r="M141" s="102"/>
      <c r="N141" s="103"/>
      <c r="O141" s="103"/>
      <c r="P141" s="103"/>
      <c r="Q141" s="103"/>
      <c r="R141" s="103"/>
      <c r="S141" s="103"/>
      <c r="T141" s="103"/>
      <c r="U141" s="104">
        <f t="shared" si="50"/>
        <v>0</v>
      </c>
      <c r="V141" s="100"/>
      <c r="W141" s="101"/>
    </row>
    <row r="142" spans="2:23" ht="18" customHeight="1" x14ac:dyDescent="0.4">
      <c r="B142" s="98"/>
      <c r="C142" s="99"/>
      <c r="D142" s="99"/>
      <c r="E142" s="99"/>
      <c r="F142" s="99"/>
      <c r="G142" s="99"/>
      <c r="H142" s="99"/>
      <c r="I142" s="99"/>
      <c r="J142" s="100"/>
      <c r="K142" s="100"/>
      <c r="L142" s="101"/>
      <c r="M142" s="102"/>
      <c r="N142" s="103"/>
      <c r="O142" s="103"/>
      <c r="P142" s="103"/>
      <c r="Q142" s="103"/>
      <c r="R142" s="103"/>
      <c r="S142" s="103"/>
      <c r="T142" s="103"/>
      <c r="U142" s="104">
        <f t="shared" si="50"/>
        <v>0</v>
      </c>
      <c r="V142" s="100"/>
      <c r="W142" s="101"/>
    </row>
    <row r="143" spans="2:23" ht="18" customHeight="1" x14ac:dyDescent="0.4">
      <c r="B143" s="98"/>
      <c r="C143" s="99"/>
      <c r="D143" s="99"/>
      <c r="E143" s="99"/>
      <c r="F143" s="99"/>
      <c r="G143" s="99"/>
      <c r="H143" s="99"/>
      <c r="I143" s="99"/>
      <c r="J143" s="100"/>
      <c r="K143" s="100"/>
      <c r="L143" s="101"/>
      <c r="M143" s="102"/>
      <c r="N143" s="103"/>
      <c r="O143" s="103"/>
      <c r="P143" s="103"/>
      <c r="Q143" s="103"/>
      <c r="R143" s="103"/>
      <c r="S143" s="103"/>
      <c r="T143" s="103"/>
      <c r="U143" s="104">
        <f t="shared" si="50"/>
        <v>0</v>
      </c>
      <c r="V143" s="100"/>
      <c r="W143" s="101"/>
    </row>
    <row r="144" spans="2:23" ht="18" customHeight="1" x14ac:dyDescent="0.4">
      <c r="B144" s="98"/>
      <c r="C144" s="99"/>
      <c r="D144" s="99"/>
      <c r="E144" s="99"/>
      <c r="F144" s="99"/>
      <c r="G144" s="99"/>
      <c r="H144" s="99"/>
      <c r="I144" s="99"/>
      <c r="J144" s="100"/>
      <c r="K144" s="100"/>
      <c r="L144" s="101"/>
      <c r="M144" s="102"/>
      <c r="N144" s="103"/>
      <c r="O144" s="103"/>
      <c r="P144" s="103"/>
      <c r="Q144" s="103"/>
      <c r="R144" s="103"/>
      <c r="S144" s="103"/>
      <c r="T144" s="103"/>
      <c r="U144" s="104">
        <f t="shared" si="50"/>
        <v>0</v>
      </c>
      <c r="V144" s="100"/>
      <c r="W144" s="101"/>
    </row>
    <row r="145" spans="2:23" ht="18" customHeight="1" x14ac:dyDescent="0.4">
      <c r="B145" s="105"/>
      <c r="C145" s="106"/>
      <c r="D145" s="106"/>
      <c r="E145" s="106"/>
      <c r="F145" s="106"/>
      <c r="G145" s="106"/>
      <c r="H145" s="106"/>
      <c r="I145" s="106"/>
      <c r="J145" s="107"/>
      <c r="K145" s="107"/>
      <c r="L145" s="108"/>
      <c r="M145" s="109"/>
      <c r="N145" s="110"/>
      <c r="O145" s="110"/>
      <c r="P145" s="110"/>
      <c r="Q145" s="110"/>
      <c r="R145" s="110"/>
      <c r="S145" s="110"/>
      <c r="T145" s="110"/>
      <c r="U145" s="111">
        <f t="shared" si="50"/>
        <v>0</v>
      </c>
      <c r="V145" s="107"/>
      <c r="W145" s="108"/>
    </row>
    <row r="146" spans="2:23" ht="18" customHeight="1" x14ac:dyDescent="0.4">
      <c r="B146" s="86"/>
      <c r="C146" s="87"/>
      <c r="D146" s="87"/>
      <c r="E146" s="87"/>
      <c r="F146" s="87"/>
      <c r="G146" s="87"/>
      <c r="H146" s="87"/>
      <c r="I146" s="87"/>
      <c r="J146" s="88" t="s">
        <v>105</v>
      </c>
      <c r="K146" s="87"/>
      <c r="L146" s="89"/>
      <c r="M146" s="90">
        <f>B146</f>
        <v>0</v>
      </c>
      <c r="N146" s="87"/>
      <c r="O146" s="87"/>
      <c r="P146" s="87"/>
      <c r="Q146" s="87"/>
      <c r="R146" s="87"/>
      <c r="S146" s="87"/>
      <c r="T146" s="87"/>
      <c r="U146" s="88" t="s">
        <v>105</v>
      </c>
      <c r="V146" s="87"/>
      <c r="W146" s="89"/>
    </row>
    <row r="147" spans="2:23" ht="18" customHeight="1" x14ac:dyDescent="0.4">
      <c r="B147" s="91"/>
      <c r="C147" s="92"/>
      <c r="D147" s="92"/>
      <c r="E147" s="92"/>
      <c r="F147" s="92"/>
      <c r="G147" s="92"/>
      <c r="H147" s="92"/>
      <c r="I147" s="92"/>
      <c r="J147" s="93"/>
      <c r="K147" s="93"/>
      <c r="L147" s="94"/>
      <c r="M147" s="95"/>
      <c r="N147" s="96"/>
      <c r="O147" s="96"/>
      <c r="P147" s="96"/>
      <c r="Q147" s="96"/>
      <c r="R147" s="96"/>
      <c r="S147" s="96"/>
      <c r="T147" s="96"/>
      <c r="U147" s="97">
        <f t="shared" ref="U147:U156" si="51">J147</f>
        <v>0</v>
      </c>
      <c r="V147" s="93"/>
      <c r="W147" s="94"/>
    </row>
    <row r="148" spans="2:23" ht="18" customHeight="1" x14ac:dyDescent="0.4">
      <c r="B148" s="98"/>
      <c r="C148" s="99"/>
      <c r="D148" s="99"/>
      <c r="E148" s="99"/>
      <c r="F148" s="99"/>
      <c r="G148" s="99"/>
      <c r="H148" s="99"/>
      <c r="I148" s="99"/>
      <c r="J148" s="100"/>
      <c r="K148" s="100"/>
      <c r="L148" s="101"/>
      <c r="M148" s="102"/>
      <c r="N148" s="103"/>
      <c r="O148" s="103"/>
      <c r="P148" s="103"/>
      <c r="Q148" s="103"/>
      <c r="R148" s="103"/>
      <c r="S148" s="103"/>
      <c r="T148" s="103"/>
      <c r="U148" s="104">
        <f t="shared" si="51"/>
        <v>0</v>
      </c>
      <c r="V148" s="100"/>
      <c r="W148" s="101"/>
    </row>
    <row r="149" spans="2:23" ht="18" customHeight="1" x14ac:dyDescent="0.4">
      <c r="B149" s="98"/>
      <c r="C149" s="99"/>
      <c r="D149" s="99"/>
      <c r="E149" s="99"/>
      <c r="F149" s="99"/>
      <c r="G149" s="99"/>
      <c r="H149" s="99"/>
      <c r="I149" s="99"/>
      <c r="J149" s="100"/>
      <c r="K149" s="100"/>
      <c r="L149" s="101"/>
      <c r="M149" s="102"/>
      <c r="N149" s="103"/>
      <c r="O149" s="103"/>
      <c r="P149" s="103"/>
      <c r="Q149" s="103"/>
      <c r="R149" s="103"/>
      <c r="S149" s="103"/>
      <c r="T149" s="103"/>
      <c r="U149" s="104">
        <f t="shared" si="51"/>
        <v>0</v>
      </c>
      <c r="V149" s="100"/>
      <c r="W149" s="101"/>
    </row>
    <row r="150" spans="2:23" ht="18" customHeight="1" x14ac:dyDescent="0.4">
      <c r="B150" s="98"/>
      <c r="C150" s="99"/>
      <c r="D150" s="99"/>
      <c r="E150" s="99"/>
      <c r="F150" s="99"/>
      <c r="G150" s="99"/>
      <c r="H150" s="99"/>
      <c r="I150" s="99"/>
      <c r="J150" s="100"/>
      <c r="K150" s="100"/>
      <c r="L150" s="101"/>
      <c r="M150" s="102"/>
      <c r="N150" s="103"/>
      <c r="O150" s="103"/>
      <c r="P150" s="103"/>
      <c r="Q150" s="103"/>
      <c r="R150" s="103"/>
      <c r="S150" s="103"/>
      <c r="T150" s="103"/>
      <c r="U150" s="104">
        <f t="shared" si="51"/>
        <v>0</v>
      </c>
      <c r="V150" s="100"/>
      <c r="W150" s="101"/>
    </row>
    <row r="151" spans="2:23" ht="18" customHeight="1" x14ac:dyDescent="0.4">
      <c r="B151" s="98"/>
      <c r="C151" s="99"/>
      <c r="D151" s="99"/>
      <c r="E151" s="99"/>
      <c r="F151" s="99"/>
      <c r="G151" s="99"/>
      <c r="H151" s="99"/>
      <c r="I151" s="99"/>
      <c r="J151" s="100"/>
      <c r="K151" s="100"/>
      <c r="L151" s="101"/>
      <c r="M151" s="102"/>
      <c r="N151" s="103"/>
      <c r="O151" s="103"/>
      <c r="P151" s="103"/>
      <c r="Q151" s="103"/>
      <c r="R151" s="103"/>
      <c r="S151" s="103"/>
      <c r="T151" s="103"/>
      <c r="U151" s="104">
        <f t="shared" si="51"/>
        <v>0</v>
      </c>
      <c r="V151" s="100"/>
      <c r="W151" s="101"/>
    </row>
    <row r="152" spans="2:23" ht="18" customHeight="1" x14ac:dyDescent="0.4">
      <c r="B152" s="98"/>
      <c r="C152" s="99"/>
      <c r="D152" s="99"/>
      <c r="E152" s="99"/>
      <c r="F152" s="99"/>
      <c r="G152" s="99"/>
      <c r="H152" s="99"/>
      <c r="I152" s="99"/>
      <c r="J152" s="100"/>
      <c r="K152" s="100"/>
      <c r="L152" s="101"/>
      <c r="M152" s="102"/>
      <c r="N152" s="103"/>
      <c r="O152" s="103"/>
      <c r="P152" s="103"/>
      <c r="Q152" s="103"/>
      <c r="R152" s="103"/>
      <c r="S152" s="103"/>
      <c r="T152" s="103"/>
      <c r="U152" s="104">
        <f t="shared" si="51"/>
        <v>0</v>
      </c>
      <c r="V152" s="100"/>
      <c r="W152" s="101"/>
    </row>
    <row r="153" spans="2:23" ht="18" customHeight="1" x14ac:dyDescent="0.4">
      <c r="B153" s="98"/>
      <c r="C153" s="99"/>
      <c r="D153" s="99"/>
      <c r="E153" s="99"/>
      <c r="F153" s="99"/>
      <c r="G153" s="99"/>
      <c r="H153" s="99"/>
      <c r="I153" s="99"/>
      <c r="J153" s="100"/>
      <c r="K153" s="100"/>
      <c r="L153" s="101"/>
      <c r="M153" s="102"/>
      <c r="N153" s="103"/>
      <c r="O153" s="103"/>
      <c r="P153" s="103"/>
      <c r="Q153" s="103"/>
      <c r="R153" s="103"/>
      <c r="S153" s="103"/>
      <c r="T153" s="103"/>
      <c r="U153" s="104">
        <f t="shared" si="51"/>
        <v>0</v>
      </c>
      <c r="V153" s="100"/>
      <c r="W153" s="101"/>
    </row>
    <row r="154" spans="2:23" ht="18" customHeight="1" x14ac:dyDescent="0.4">
      <c r="B154" s="98"/>
      <c r="C154" s="99"/>
      <c r="D154" s="99"/>
      <c r="E154" s="99"/>
      <c r="F154" s="99"/>
      <c r="G154" s="99"/>
      <c r="H154" s="99"/>
      <c r="I154" s="99"/>
      <c r="J154" s="100"/>
      <c r="K154" s="100"/>
      <c r="L154" s="101"/>
      <c r="M154" s="102"/>
      <c r="N154" s="103"/>
      <c r="O154" s="103"/>
      <c r="P154" s="103"/>
      <c r="Q154" s="103"/>
      <c r="R154" s="103"/>
      <c r="S154" s="103"/>
      <c r="T154" s="103"/>
      <c r="U154" s="104">
        <f t="shared" si="51"/>
        <v>0</v>
      </c>
      <c r="V154" s="100"/>
      <c r="W154" s="101"/>
    </row>
    <row r="155" spans="2:23" ht="18" customHeight="1" x14ac:dyDescent="0.4">
      <c r="B155" s="98"/>
      <c r="C155" s="99"/>
      <c r="D155" s="99"/>
      <c r="E155" s="99"/>
      <c r="F155" s="99"/>
      <c r="G155" s="99"/>
      <c r="H155" s="99"/>
      <c r="I155" s="99"/>
      <c r="J155" s="100"/>
      <c r="K155" s="100"/>
      <c r="L155" s="101"/>
      <c r="M155" s="102"/>
      <c r="N155" s="103"/>
      <c r="O155" s="103"/>
      <c r="P155" s="103"/>
      <c r="Q155" s="103"/>
      <c r="R155" s="103"/>
      <c r="S155" s="103"/>
      <c r="T155" s="103"/>
      <c r="U155" s="104">
        <f t="shared" si="51"/>
        <v>0</v>
      </c>
      <c r="V155" s="100"/>
      <c r="W155" s="101"/>
    </row>
    <row r="156" spans="2:23" ht="18" customHeight="1" x14ac:dyDescent="0.4">
      <c r="B156" s="105"/>
      <c r="C156" s="106"/>
      <c r="D156" s="106"/>
      <c r="E156" s="106"/>
      <c r="F156" s="106"/>
      <c r="G156" s="106"/>
      <c r="H156" s="106"/>
      <c r="I156" s="106"/>
      <c r="J156" s="107"/>
      <c r="K156" s="107"/>
      <c r="L156" s="108"/>
      <c r="M156" s="109"/>
      <c r="N156" s="110"/>
      <c r="O156" s="110"/>
      <c r="P156" s="110"/>
      <c r="Q156" s="110"/>
      <c r="R156" s="110"/>
      <c r="S156" s="110"/>
      <c r="T156" s="110"/>
      <c r="U156" s="111">
        <f t="shared" si="51"/>
        <v>0</v>
      </c>
      <c r="V156" s="107"/>
      <c r="W156" s="108"/>
    </row>
    <row r="157" spans="2:23" ht="18" customHeight="1" x14ac:dyDescent="0.4">
      <c r="B157" s="86"/>
      <c r="C157" s="87"/>
      <c r="D157" s="87"/>
      <c r="E157" s="87"/>
      <c r="F157" s="87"/>
      <c r="G157" s="87"/>
      <c r="H157" s="87"/>
      <c r="I157" s="87"/>
      <c r="J157" s="88" t="s">
        <v>105</v>
      </c>
      <c r="K157" s="87"/>
      <c r="L157" s="89"/>
      <c r="M157" s="90">
        <f>B157</f>
        <v>0</v>
      </c>
      <c r="N157" s="87"/>
      <c r="O157" s="87"/>
      <c r="P157" s="87"/>
      <c r="Q157" s="87"/>
      <c r="R157" s="87"/>
      <c r="S157" s="87"/>
      <c r="T157" s="87"/>
      <c r="U157" s="88" t="s">
        <v>105</v>
      </c>
      <c r="V157" s="87"/>
      <c r="W157" s="89"/>
    </row>
    <row r="158" spans="2:23" ht="18" customHeight="1" x14ac:dyDescent="0.4">
      <c r="B158" s="95"/>
      <c r="C158" s="96"/>
      <c r="D158" s="96"/>
      <c r="E158" s="96"/>
      <c r="F158" s="96"/>
      <c r="G158" s="96"/>
      <c r="H158" s="96"/>
      <c r="I158" s="96"/>
      <c r="J158" s="93"/>
      <c r="K158" s="93"/>
      <c r="L158" s="94"/>
      <c r="M158" s="95"/>
      <c r="N158" s="96"/>
      <c r="O158" s="96"/>
      <c r="P158" s="96"/>
      <c r="Q158" s="96"/>
      <c r="R158" s="96"/>
      <c r="S158" s="96"/>
      <c r="T158" s="96"/>
      <c r="U158" s="97">
        <f t="shared" ref="U158:U167" si="52">J158</f>
        <v>0</v>
      </c>
      <c r="V158" s="93"/>
      <c r="W158" s="94"/>
    </row>
    <row r="159" spans="2:23" ht="18" customHeight="1" x14ac:dyDescent="0.4">
      <c r="B159" s="102"/>
      <c r="C159" s="103"/>
      <c r="D159" s="103"/>
      <c r="E159" s="103"/>
      <c r="F159" s="103"/>
      <c r="G159" s="103"/>
      <c r="H159" s="103"/>
      <c r="I159" s="103"/>
      <c r="J159" s="100"/>
      <c r="K159" s="100"/>
      <c r="L159" s="101"/>
      <c r="M159" s="102"/>
      <c r="N159" s="103"/>
      <c r="O159" s="103"/>
      <c r="P159" s="103"/>
      <c r="Q159" s="103"/>
      <c r="R159" s="103"/>
      <c r="S159" s="103"/>
      <c r="T159" s="103"/>
      <c r="U159" s="104">
        <f t="shared" si="52"/>
        <v>0</v>
      </c>
      <c r="V159" s="100"/>
      <c r="W159" s="101"/>
    </row>
    <row r="160" spans="2:23" ht="18" customHeight="1" x14ac:dyDescent="0.4">
      <c r="B160" s="102"/>
      <c r="C160" s="103"/>
      <c r="D160" s="103"/>
      <c r="E160" s="103"/>
      <c r="F160" s="103"/>
      <c r="G160" s="103"/>
      <c r="H160" s="103"/>
      <c r="I160" s="103"/>
      <c r="J160" s="100"/>
      <c r="K160" s="100"/>
      <c r="L160" s="101"/>
      <c r="M160" s="102"/>
      <c r="N160" s="103"/>
      <c r="O160" s="103"/>
      <c r="P160" s="103"/>
      <c r="Q160" s="103"/>
      <c r="R160" s="103"/>
      <c r="S160" s="103"/>
      <c r="T160" s="103"/>
      <c r="U160" s="104">
        <f t="shared" si="52"/>
        <v>0</v>
      </c>
      <c r="V160" s="100"/>
      <c r="W160" s="101"/>
    </row>
    <row r="161" spans="2:23" ht="18" customHeight="1" x14ac:dyDescent="0.4">
      <c r="B161" s="102"/>
      <c r="C161" s="103"/>
      <c r="D161" s="103"/>
      <c r="E161" s="103"/>
      <c r="F161" s="103"/>
      <c r="G161" s="103"/>
      <c r="H161" s="103"/>
      <c r="I161" s="103"/>
      <c r="J161" s="100"/>
      <c r="K161" s="100"/>
      <c r="L161" s="101"/>
      <c r="M161" s="102"/>
      <c r="N161" s="103"/>
      <c r="O161" s="103"/>
      <c r="P161" s="103"/>
      <c r="Q161" s="103"/>
      <c r="R161" s="103"/>
      <c r="S161" s="103"/>
      <c r="T161" s="103"/>
      <c r="U161" s="104">
        <f t="shared" si="52"/>
        <v>0</v>
      </c>
      <c r="V161" s="100"/>
      <c r="W161" s="101"/>
    </row>
    <row r="162" spans="2:23" ht="18" customHeight="1" x14ac:dyDescent="0.4">
      <c r="B162" s="102"/>
      <c r="C162" s="103"/>
      <c r="D162" s="103"/>
      <c r="E162" s="103"/>
      <c r="F162" s="103"/>
      <c r="G162" s="103"/>
      <c r="H162" s="103"/>
      <c r="I162" s="103"/>
      <c r="J162" s="100"/>
      <c r="K162" s="100"/>
      <c r="L162" s="101"/>
      <c r="M162" s="102"/>
      <c r="N162" s="103"/>
      <c r="O162" s="103"/>
      <c r="P162" s="103"/>
      <c r="Q162" s="103"/>
      <c r="R162" s="103"/>
      <c r="S162" s="103"/>
      <c r="T162" s="103"/>
      <c r="U162" s="104">
        <f t="shared" si="52"/>
        <v>0</v>
      </c>
      <c r="V162" s="100"/>
      <c r="W162" s="101"/>
    </row>
    <row r="163" spans="2:23" ht="18" customHeight="1" x14ac:dyDescent="0.4">
      <c r="B163" s="102"/>
      <c r="C163" s="103"/>
      <c r="D163" s="103"/>
      <c r="E163" s="103"/>
      <c r="F163" s="103"/>
      <c r="G163" s="103"/>
      <c r="H163" s="103"/>
      <c r="I163" s="103"/>
      <c r="J163" s="100"/>
      <c r="K163" s="100"/>
      <c r="L163" s="101"/>
      <c r="M163" s="102"/>
      <c r="N163" s="103"/>
      <c r="O163" s="103"/>
      <c r="P163" s="103"/>
      <c r="Q163" s="103"/>
      <c r="R163" s="103"/>
      <c r="S163" s="103"/>
      <c r="T163" s="103"/>
      <c r="U163" s="104">
        <f t="shared" si="52"/>
        <v>0</v>
      </c>
      <c r="V163" s="100"/>
      <c r="W163" s="101"/>
    </row>
    <row r="164" spans="2:23" ht="18" customHeight="1" x14ac:dyDescent="0.4">
      <c r="B164" s="102"/>
      <c r="C164" s="103"/>
      <c r="D164" s="103"/>
      <c r="E164" s="103"/>
      <c r="F164" s="103"/>
      <c r="G164" s="103"/>
      <c r="H164" s="103"/>
      <c r="I164" s="103"/>
      <c r="J164" s="100"/>
      <c r="K164" s="100"/>
      <c r="L164" s="101"/>
      <c r="M164" s="102"/>
      <c r="N164" s="103"/>
      <c r="O164" s="103"/>
      <c r="P164" s="103"/>
      <c r="Q164" s="103"/>
      <c r="R164" s="103"/>
      <c r="S164" s="103"/>
      <c r="T164" s="103"/>
      <c r="U164" s="104">
        <f t="shared" si="52"/>
        <v>0</v>
      </c>
      <c r="V164" s="100"/>
      <c r="W164" s="101"/>
    </row>
    <row r="165" spans="2:23" ht="18" customHeight="1" x14ac:dyDescent="0.4">
      <c r="B165" s="102"/>
      <c r="C165" s="103"/>
      <c r="D165" s="103"/>
      <c r="E165" s="103"/>
      <c r="F165" s="103"/>
      <c r="G165" s="103"/>
      <c r="H165" s="103"/>
      <c r="I165" s="103"/>
      <c r="J165" s="100"/>
      <c r="K165" s="100"/>
      <c r="L165" s="101"/>
      <c r="M165" s="102"/>
      <c r="N165" s="103"/>
      <c r="O165" s="103"/>
      <c r="P165" s="103"/>
      <c r="Q165" s="103"/>
      <c r="R165" s="103"/>
      <c r="S165" s="103"/>
      <c r="T165" s="103"/>
      <c r="U165" s="104">
        <f t="shared" si="52"/>
        <v>0</v>
      </c>
      <c r="V165" s="100"/>
      <c r="W165" s="101"/>
    </row>
    <row r="166" spans="2:23" ht="18" customHeight="1" x14ac:dyDescent="0.4">
      <c r="B166" s="102"/>
      <c r="C166" s="103"/>
      <c r="D166" s="103"/>
      <c r="E166" s="103"/>
      <c r="F166" s="103"/>
      <c r="G166" s="103"/>
      <c r="H166" s="103"/>
      <c r="I166" s="103"/>
      <c r="J166" s="100"/>
      <c r="K166" s="100"/>
      <c r="L166" s="101"/>
      <c r="M166" s="102"/>
      <c r="N166" s="103"/>
      <c r="O166" s="103"/>
      <c r="P166" s="103"/>
      <c r="Q166" s="103"/>
      <c r="R166" s="103"/>
      <c r="S166" s="103"/>
      <c r="T166" s="103"/>
      <c r="U166" s="104">
        <f t="shared" si="52"/>
        <v>0</v>
      </c>
      <c r="V166" s="100"/>
      <c r="W166" s="101"/>
    </row>
    <row r="167" spans="2:23" ht="18" customHeight="1" x14ac:dyDescent="0.4">
      <c r="B167" s="109"/>
      <c r="C167" s="110"/>
      <c r="D167" s="110"/>
      <c r="E167" s="110"/>
      <c r="F167" s="110"/>
      <c r="G167" s="110"/>
      <c r="H167" s="110"/>
      <c r="I167" s="110"/>
      <c r="J167" s="107"/>
      <c r="K167" s="107"/>
      <c r="L167" s="108"/>
      <c r="M167" s="109"/>
      <c r="N167" s="110"/>
      <c r="O167" s="110"/>
      <c r="P167" s="110"/>
      <c r="Q167" s="110"/>
      <c r="R167" s="110"/>
      <c r="S167" s="110"/>
      <c r="T167" s="110"/>
      <c r="U167" s="111">
        <f t="shared" si="52"/>
        <v>0</v>
      </c>
      <c r="V167" s="107"/>
      <c r="W167" s="108"/>
    </row>
    <row r="168" spans="2:23" ht="18" customHeight="1" x14ac:dyDescent="0.4">
      <c r="B168" s="86"/>
      <c r="C168" s="87"/>
      <c r="D168" s="87"/>
      <c r="E168" s="87"/>
      <c r="F168" s="87"/>
      <c r="G168" s="87"/>
      <c r="H168" s="87"/>
      <c r="I168" s="87"/>
      <c r="J168" s="88" t="s">
        <v>105</v>
      </c>
      <c r="K168" s="87"/>
      <c r="L168" s="89"/>
      <c r="M168" s="90">
        <f>B168</f>
        <v>0</v>
      </c>
      <c r="N168" s="87"/>
      <c r="O168" s="87"/>
      <c r="P168" s="87"/>
      <c r="Q168" s="87"/>
      <c r="R168" s="87"/>
      <c r="S168" s="87"/>
      <c r="T168" s="87"/>
      <c r="U168" s="88" t="s">
        <v>105</v>
      </c>
      <c r="V168" s="87"/>
      <c r="W168" s="89"/>
    </row>
    <row r="169" spans="2:23" ht="18" customHeight="1" x14ac:dyDescent="0.4">
      <c r="B169" s="95"/>
      <c r="C169" s="96"/>
      <c r="D169" s="96"/>
      <c r="E169" s="96"/>
      <c r="F169" s="96"/>
      <c r="G169" s="96"/>
      <c r="H169" s="96"/>
      <c r="I169" s="96"/>
      <c r="J169" s="93"/>
      <c r="K169" s="93"/>
      <c r="L169" s="94"/>
      <c r="M169" s="95"/>
      <c r="N169" s="96"/>
      <c r="O169" s="96"/>
      <c r="P169" s="96"/>
      <c r="Q169" s="96"/>
      <c r="R169" s="96"/>
      <c r="S169" s="96"/>
      <c r="T169" s="96"/>
      <c r="U169" s="97">
        <f t="shared" ref="U169:U178" si="53">J169</f>
        <v>0</v>
      </c>
      <c r="V169" s="93"/>
      <c r="W169" s="94"/>
    </row>
    <row r="170" spans="2:23" ht="18" customHeight="1" x14ac:dyDescent="0.4">
      <c r="B170" s="102"/>
      <c r="C170" s="103"/>
      <c r="D170" s="103"/>
      <c r="E170" s="103"/>
      <c r="F170" s="103"/>
      <c r="G170" s="103"/>
      <c r="H170" s="103"/>
      <c r="I170" s="103"/>
      <c r="J170" s="100"/>
      <c r="K170" s="100"/>
      <c r="L170" s="101"/>
      <c r="M170" s="102"/>
      <c r="N170" s="103"/>
      <c r="O170" s="103"/>
      <c r="P170" s="103"/>
      <c r="Q170" s="103"/>
      <c r="R170" s="103"/>
      <c r="S170" s="103"/>
      <c r="T170" s="103"/>
      <c r="U170" s="104">
        <f t="shared" si="53"/>
        <v>0</v>
      </c>
      <c r="V170" s="100"/>
      <c r="W170" s="101"/>
    </row>
    <row r="171" spans="2:23" ht="18" customHeight="1" x14ac:dyDescent="0.4">
      <c r="B171" s="102"/>
      <c r="C171" s="103"/>
      <c r="D171" s="103"/>
      <c r="E171" s="103"/>
      <c r="F171" s="103"/>
      <c r="G171" s="103"/>
      <c r="H171" s="103"/>
      <c r="I171" s="103"/>
      <c r="J171" s="100"/>
      <c r="K171" s="100"/>
      <c r="L171" s="101"/>
      <c r="M171" s="102"/>
      <c r="N171" s="103"/>
      <c r="O171" s="103"/>
      <c r="P171" s="103"/>
      <c r="Q171" s="103"/>
      <c r="R171" s="103"/>
      <c r="S171" s="103"/>
      <c r="T171" s="103"/>
      <c r="U171" s="104">
        <f t="shared" si="53"/>
        <v>0</v>
      </c>
      <c r="V171" s="100"/>
      <c r="W171" s="101"/>
    </row>
    <row r="172" spans="2:23" ht="18" customHeight="1" x14ac:dyDescent="0.4">
      <c r="B172" s="102"/>
      <c r="C172" s="103"/>
      <c r="D172" s="103"/>
      <c r="E172" s="103"/>
      <c r="F172" s="103"/>
      <c r="G172" s="103"/>
      <c r="H172" s="103"/>
      <c r="I172" s="103"/>
      <c r="J172" s="100"/>
      <c r="K172" s="100"/>
      <c r="L172" s="101"/>
      <c r="M172" s="102"/>
      <c r="N172" s="103"/>
      <c r="O172" s="103"/>
      <c r="P172" s="103"/>
      <c r="Q172" s="103"/>
      <c r="R172" s="103"/>
      <c r="S172" s="103"/>
      <c r="T172" s="103"/>
      <c r="U172" s="104">
        <f t="shared" si="53"/>
        <v>0</v>
      </c>
      <c r="V172" s="100"/>
      <c r="W172" s="101"/>
    </row>
    <row r="173" spans="2:23" ht="18" customHeight="1" x14ac:dyDescent="0.4">
      <c r="B173" s="102"/>
      <c r="C173" s="103"/>
      <c r="D173" s="103"/>
      <c r="E173" s="103"/>
      <c r="F173" s="103"/>
      <c r="G173" s="103"/>
      <c r="H173" s="103"/>
      <c r="I173" s="103"/>
      <c r="J173" s="100"/>
      <c r="K173" s="100"/>
      <c r="L173" s="101"/>
      <c r="M173" s="102"/>
      <c r="N173" s="103"/>
      <c r="O173" s="103"/>
      <c r="P173" s="103"/>
      <c r="Q173" s="103"/>
      <c r="R173" s="103"/>
      <c r="S173" s="103"/>
      <c r="T173" s="103"/>
      <c r="U173" s="104">
        <f t="shared" si="53"/>
        <v>0</v>
      </c>
      <c r="V173" s="100"/>
      <c r="W173" s="101"/>
    </row>
    <row r="174" spans="2:23" ht="18" customHeight="1" x14ac:dyDescent="0.4">
      <c r="B174" s="102"/>
      <c r="C174" s="103"/>
      <c r="D174" s="103"/>
      <c r="E174" s="103"/>
      <c r="F174" s="103"/>
      <c r="G174" s="103"/>
      <c r="H174" s="103"/>
      <c r="I174" s="103"/>
      <c r="J174" s="100"/>
      <c r="K174" s="100"/>
      <c r="L174" s="101"/>
      <c r="M174" s="102"/>
      <c r="N174" s="103"/>
      <c r="O174" s="103"/>
      <c r="P174" s="103"/>
      <c r="Q174" s="103"/>
      <c r="R174" s="103"/>
      <c r="S174" s="103"/>
      <c r="T174" s="103"/>
      <c r="U174" s="104">
        <f t="shared" si="53"/>
        <v>0</v>
      </c>
      <c r="V174" s="100"/>
      <c r="W174" s="101"/>
    </row>
    <row r="175" spans="2:23" ht="18" customHeight="1" x14ac:dyDescent="0.4">
      <c r="B175" s="102"/>
      <c r="C175" s="103"/>
      <c r="D175" s="103"/>
      <c r="E175" s="103"/>
      <c r="F175" s="103"/>
      <c r="G175" s="103"/>
      <c r="H175" s="103"/>
      <c r="I175" s="103"/>
      <c r="J175" s="100"/>
      <c r="K175" s="100"/>
      <c r="L175" s="101"/>
      <c r="M175" s="102"/>
      <c r="N175" s="103"/>
      <c r="O175" s="103"/>
      <c r="P175" s="103"/>
      <c r="Q175" s="103"/>
      <c r="R175" s="103"/>
      <c r="S175" s="103"/>
      <c r="T175" s="103"/>
      <c r="U175" s="104">
        <f t="shared" si="53"/>
        <v>0</v>
      </c>
      <c r="V175" s="100"/>
      <c r="W175" s="101"/>
    </row>
    <row r="176" spans="2:23" ht="18" customHeight="1" x14ac:dyDescent="0.4">
      <c r="B176" s="102"/>
      <c r="C176" s="103"/>
      <c r="D176" s="103"/>
      <c r="E176" s="103"/>
      <c r="F176" s="103"/>
      <c r="G176" s="103"/>
      <c r="H176" s="103"/>
      <c r="I176" s="103"/>
      <c r="J176" s="100"/>
      <c r="K176" s="100"/>
      <c r="L176" s="101"/>
      <c r="M176" s="102"/>
      <c r="N176" s="103"/>
      <c r="O176" s="103"/>
      <c r="P176" s="103"/>
      <c r="Q176" s="103"/>
      <c r="R176" s="103"/>
      <c r="S176" s="103"/>
      <c r="T176" s="103"/>
      <c r="U176" s="104">
        <f t="shared" si="53"/>
        <v>0</v>
      </c>
      <c r="V176" s="100"/>
      <c r="W176" s="101"/>
    </row>
    <row r="177" spans="2:23" ht="18" customHeight="1" x14ac:dyDescent="0.4">
      <c r="B177" s="102"/>
      <c r="C177" s="103"/>
      <c r="D177" s="103"/>
      <c r="E177" s="103"/>
      <c r="F177" s="103"/>
      <c r="G177" s="103"/>
      <c r="H177" s="103"/>
      <c r="I177" s="103"/>
      <c r="J177" s="100"/>
      <c r="K177" s="100"/>
      <c r="L177" s="101"/>
      <c r="M177" s="102"/>
      <c r="N177" s="103"/>
      <c r="O177" s="103"/>
      <c r="P177" s="103"/>
      <c r="Q177" s="103"/>
      <c r="R177" s="103"/>
      <c r="S177" s="103"/>
      <c r="T177" s="103"/>
      <c r="U177" s="104">
        <f t="shared" si="53"/>
        <v>0</v>
      </c>
      <c r="V177" s="100"/>
      <c r="W177" s="101"/>
    </row>
    <row r="178" spans="2:23" ht="18" customHeight="1" x14ac:dyDescent="0.4">
      <c r="B178" s="109"/>
      <c r="C178" s="110"/>
      <c r="D178" s="110"/>
      <c r="E178" s="110"/>
      <c r="F178" s="110"/>
      <c r="G178" s="110"/>
      <c r="H178" s="110"/>
      <c r="I178" s="110"/>
      <c r="J178" s="107"/>
      <c r="K178" s="107"/>
      <c r="L178" s="108"/>
      <c r="M178" s="109"/>
      <c r="N178" s="110"/>
      <c r="O178" s="110"/>
      <c r="P178" s="110"/>
      <c r="Q178" s="110"/>
      <c r="R178" s="110"/>
      <c r="S178" s="110"/>
      <c r="T178" s="110"/>
      <c r="U178" s="111">
        <f t="shared" si="53"/>
        <v>0</v>
      </c>
      <c r="V178" s="107"/>
      <c r="W178" s="108"/>
    </row>
    <row r="179" spans="2:23" ht="18" customHeight="1" x14ac:dyDescent="0.4">
      <c r="B179" s="86"/>
      <c r="C179" s="87"/>
      <c r="D179" s="87"/>
      <c r="E179" s="87"/>
      <c r="F179" s="87"/>
      <c r="G179" s="87"/>
      <c r="H179" s="87"/>
      <c r="I179" s="87"/>
      <c r="J179" s="88" t="s">
        <v>105</v>
      </c>
      <c r="K179" s="87"/>
      <c r="L179" s="89"/>
      <c r="M179" s="90">
        <f>B179</f>
        <v>0</v>
      </c>
      <c r="N179" s="87"/>
      <c r="O179" s="87"/>
      <c r="P179" s="87"/>
      <c r="Q179" s="87"/>
      <c r="R179" s="87"/>
      <c r="S179" s="87"/>
      <c r="T179" s="87"/>
      <c r="U179" s="88" t="s">
        <v>105</v>
      </c>
      <c r="V179" s="87"/>
      <c r="W179" s="89"/>
    </row>
    <row r="180" spans="2:23" ht="18" customHeight="1" x14ac:dyDescent="0.4">
      <c r="B180" s="95"/>
      <c r="C180" s="96"/>
      <c r="D180" s="96"/>
      <c r="E180" s="96"/>
      <c r="F180" s="96"/>
      <c r="G180" s="96"/>
      <c r="H180" s="96"/>
      <c r="I180" s="96"/>
      <c r="J180" s="93"/>
      <c r="K180" s="93"/>
      <c r="L180" s="94"/>
      <c r="M180" s="95"/>
      <c r="N180" s="96"/>
      <c r="O180" s="96"/>
      <c r="P180" s="96"/>
      <c r="Q180" s="96"/>
      <c r="R180" s="96"/>
      <c r="S180" s="96"/>
      <c r="T180" s="96"/>
      <c r="U180" s="97">
        <f t="shared" ref="U180:U189" si="54">J180</f>
        <v>0</v>
      </c>
      <c r="V180" s="93"/>
      <c r="W180" s="94"/>
    </row>
    <row r="181" spans="2:23" ht="18" customHeight="1" x14ac:dyDescent="0.4">
      <c r="B181" s="102"/>
      <c r="C181" s="103"/>
      <c r="D181" s="103"/>
      <c r="E181" s="103"/>
      <c r="F181" s="103"/>
      <c r="G181" s="103"/>
      <c r="H181" s="103"/>
      <c r="I181" s="103"/>
      <c r="J181" s="100"/>
      <c r="K181" s="100"/>
      <c r="L181" s="101"/>
      <c r="M181" s="102"/>
      <c r="N181" s="103"/>
      <c r="O181" s="103"/>
      <c r="P181" s="103"/>
      <c r="Q181" s="103"/>
      <c r="R181" s="103"/>
      <c r="S181" s="103"/>
      <c r="T181" s="103"/>
      <c r="U181" s="104">
        <f t="shared" si="54"/>
        <v>0</v>
      </c>
      <c r="V181" s="100"/>
      <c r="W181" s="101"/>
    </row>
    <row r="182" spans="2:23" ht="18" customHeight="1" x14ac:dyDescent="0.4">
      <c r="B182" s="102"/>
      <c r="C182" s="103"/>
      <c r="D182" s="103"/>
      <c r="E182" s="103"/>
      <c r="F182" s="103"/>
      <c r="G182" s="103"/>
      <c r="H182" s="103"/>
      <c r="I182" s="103"/>
      <c r="J182" s="100"/>
      <c r="K182" s="100"/>
      <c r="L182" s="101"/>
      <c r="M182" s="102"/>
      <c r="N182" s="103"/>
      <c r="O182" s="103"/>
      <c r="P182" s="103"/>
      <c r="Q182" s="103"/>
      <c r="R182" s="103"/>
      <c r="S182" s="103"/>
      <c r="T182" s="103"/>
      <c r="U182" s="104">
        <f t="shared" si="54"/>
        <v>0</v>
      </c>
      <c r="V182" s="100"/>
      <c r="W182" s="101"/>
    </row>
    <row r="183" spans="2:23" ht="18" customHeight="1" x14ac:dyDescent="0.4">
      <c r="B183" s="102"/>
      <c r="C183" s="103"/>
      <c r="D183" s="103"/>
      <c r="E183" s="103"/>
      <c r="F183" s="103"/>
      <c r="G183" s="103"/>
      <c r="H183" s="103"/>
      <c r="I183" s="103"/>
      <c r="J183" s="100"/>
      <c r="K183" s="100"/>
      <c r="L183" s="101"/>
      <c r="M183" s="102"/>
      <c r="N183" s="103"/>
      <c r="O183" s="103"/>
      <c r="P183" s="103"/>
      <c r="Q183" s="103"/>
      <c r="R183" s="103"/>
      <c r="S183" s="103"/>
      <c r="T183" s="103"/>
      <c r="U183" s="104">
        <f t="shared" si="54"/>
        <v>0</v>
      </c>
      <c r="V183" s="100"/>
      <c r="W183" s="101"/>
    </row>
    <row r="184" spans="2:23" ht="18" customHeight="1" x14ac:dyDescent="0.4">
      <c r="B184" s="102"/>
      <c r="C184" s="103"/>
      <c r="D184" s="103"/>
      <c r="E184" s="103"/>
      <c r="F184" s="103"/>
      <c r="G184" s="103"/>
      <c r="H184" s="103"/>
      <c r="I184" s="103"/>
      <c r="J184" s="100"/>
      <c r="K184" s="100"/>
      <c r="L184" s="101"/>
      <c r="M184" s="102"/>
      <c r="N184" s="103"/>
      <c r="O184" s="103"/>
      <c r="P184" s="103"/>
      <c r="Q184" s="103"/>
      <c r="R184" s="103"/>
      <c r="S184" s="103"/>
      <c r="T184" s="103"/>
      <c r="U184" s="104">
        <f t="shared" si="54"/>
        <v>0</v>
      </c>
      <c r="V184" s="100"/>
      <c r="W184" s="101"/>
    </row>
    <row r="185" spans="2:23" ht="18" customHeight="1" x14ac:dyDescent="0.4">
      <c r="B185" s="102"/>
      <c r="C185" s="103"/>
      <c r="D185" s="103"/>
      <c r="E185" s="103"/>
      <c r="F185" s="103"/>
      <c r="G185" s="103"/>
      <c r="H185" s="103"/>
      <c r="I185" s="103"/>
      <c r="J185" s="100"/>
      <c r="K185" s="100"/>
      <c r="L185" s="101"/>
      <c r="M185" s="102"/>
      <c r="N185" s="103"/>
      <c r="O185" s="103"/>
      <c r="P185" s="103"/>
      <c r="Q185" s="103"/>
      <c r="R185" s="103"/>
      <c r="S185" s="103"/>
      <c r="T185" s="103"/>
      <c r="U185" s="104">
        <f t="shared" si="54"/>
        <v>0</v>
      </c>
      <c r="V185" s="100"/>
      <c r="W185" s="101"/>
    </row>
    <row r="186" spans="2:23" ht="18" customHeight="1" x14ac:dyDescent="0.4">
      <c r="B186" s="102"/>
      <c r="C186" s="103"/>
      <c r="D186" s="103"/>
      <c r="E186" s="103"/>
      <c r="F186" s="103"/>
      <c r="G186" s="103"/>
      <c r="H186" s="103"/>
      <c r="I186" s="103"/>
      <c r="J186" s="100"/>
      <c r="K186" s="100"/>
      <c r="L186" s="101"/>
      <c r="M186" s="102"/>
      <c r="N186" s="103"/>
      <c r="O186" s="103"/>
      <c r="P186" s="103"/>
      <c r="Q186" s="103"/>
      <c r="R186" s="103"/>
      <c r="S186" s="103"/>
      <c r="T186" s="103"/>
      <c r="U186" s="104">
        <f t="shared" si="54"/>
        <v>0</v>
      </c>
      <c r="V186" s="100"/>
      <c r="W186" s="101"/>
    </row>
    <row r="187" spans="2:23" ht="18" customHeight="1" x14ac:dyDescent="0.4">
      <c r="B187" s="102"/>
      <c r="C187" s="103"/>
      <c r="D187" s="103"/>
      <c r="E187" s="103"/>
      <c r="F187" s="103"/>
      <c r="G187" s="103"/>
      <c r="H187" s="103"/>
      <c r="I187" s="103"/>
      <c r="J187" s="100"/>
      <c r="K187" s="100"/>
      <c r="L187" s="101"/>
      <c r="M187" s="102"/>
      <c r="N187" s="103"/>
      <c r="O187" s="103"/>
      <c r="P187" s="103"/>
      <c r="Q187" s="103"/>
      <c r="R187" s="103"/>
      <c r="S187" s="103"/>
      <c r="T187" s="103"/>
      <c r="U187" s="104">
        <f t="shared" si="54"/>
        <v>0</v>
      </c>
      <c r="V187" s="100"/>
      <c r="W187" s="101"/>
    </row>
    <row r="188" spans="2:23" ht="18" customHeight="1" x14ac:dyDescent="0.4">
      <c r="B188" s="102"/>
      <c r="C188" s="103"/>
      <c r="D188" s="103"/>
      <c r="E188" s="103"/>
      <c r="F188" s="103"/>
      <c r="G188" s="103"/>
      <c r="H188" s="103"/>
      <c r="I188" s="103"/>
      <c r="J188" s="100"/>
      <c r="K188" s="100"/>
      <c r="L188" s="101"/>
      <c r="M188" s="102"/>
      <c r="N188" s="103"/>
      <c r="O188" s="103"/>
      <c r="P188" s="103"/>
      <c r="Q188" s="103"/>
      <c r="R188" s="103"/>
      <c r="S188" s="103"/>
      <c r="T188" s="103"/>
      <c r="U188" s="104">
        <f t="shared" si="54"/>
        <v>0</v>
      </c>
      <c r="V188" s="100"/>
      <c r="W188" s="101"/>
    </row>
    <row r="189" spans="2:23" ht="18" customHeight="1" x14ac:dyDescent="0.4">
      <c r="B189" s="109"/>
      <c r="C189" s="110"/>
      <c r="D189" s="110"/>
      <c r="E189" s="110"/>
      <c r="F189" s="110"/>
      <c r="G189" s="110"/>
      <c r="H189" s="110"/>
      <c r="I189" s="110"/>
      <c r="J189" s="107"/>
      <c r="K189" s="107"/>
      <c r="L189" s="108"/>
      <c r="M189" s="109"/>
      <c r="N189" s="110"/>
      <c r="O189" s="110"/>
      <c r="P189" s="110"/>
      <c r="Q189" s="110"/>
      <c r="R189" s="110"/>
      <c r="S189" s="110"/>
      <c r="T189" s="110"/>
      <c r="U189" s="111">
        <f t="shared" si="54"/>
        <v>0</v>
      </c>
      <c r="V189" s="107"/>
      <c r="W189" s="108"/>
    </row>
    <row r="190" spans="2:23" ht="18" customHeight="1" x14ac:dyDescent="0.4">
      <c r="B190" s="86"/>
      <c r="C190" s="87"/>
      <c r="D190" s="87"/>
      <c r="E190" s="87"/>
      <c r="F190" s="87"/>
      <c r="G190" s="87"/>
      <c r="H190" s="87"/>
      <c r="I190" s="87"/>
      <c r="J190" s="88" t="s">
        <v>105</v>
      </c>
      <c r="K190" s="87"/>
      <c r="L190" s="89"/>
      <c r="M190" s="90">
        <f>B190</f>
        <v>0</v>
      </c>
      <c r="N190" s="87"/>
      <c r="O190" s="87"/>
      <c r="P190" s="87"/>
      <c r="Q190" s="87"/>
      <c r="R190" s="87"/>
      <c r="S190" s="87"/>
      <c r="T190" s="87"/>
      <c r="U190" s="88" t="s">
        <v>105</v>
      </c>
      <c r="V190" s="87"/>
      <c r="W190" s="89"/>
    </row>
    <row r="191" spans="2:23" ht="18" customHeight="1" x14ac:dyDescent="0.4">
      <c r="B191" s="95"/>
      <c r="C191" s="96"/>
      <c r="D191" s="96"/>
      <c r="E191" s="96"/>
      <c r="F191" s="96"/>
      <c r="G191" s="96"/>
      <c r="H191" s="96"/>
      <c r="I191" s="96"/>
      <c r="J191" s="93"/>
      <c r="K191" s="93"/>
      <c r="L191" s="94"/>
      <c r="M191" s="95"/>
      <c r="N191" s="96"/>
      <c r="O191" s="96"/>
      <c r="P191" s="96"/>
      <c r="Q191" s="96"/>
      <c r="R191" s="96"/>
      <c r="S191" s="96"/>
      <c r="T191" s="96"/>
      <c r="U191" s="97">
        <f t="shared" ref="U191:U200" si="55">J191</f>
        <v>0</v>
      </c>
      <c r="V191" s="93"/>
      <c r="W191" s="94"/>
    </row>
    <row r="192" spans="2:23" ht="18" customHeight="1" x14ac:dyDescent="0.4">
      <c r="B192" s="102"/>
      <c r="C192" s="103"/>
      <c r="D192" s="103"/>
      <c r="E192" s="103"/>
      <c r="F192" s="103"/>
      <c r="G192" s="103"/>
      <c r="H192" s="103"/>
      <c r="I192" s="103"/>
      <c r="J192" s="100"/>
      <c r="K192" s="100"/>
      <c r="L192" s="101"/>
      <c r="M192" s="102"/>
      <c r="N192" s="103"/>
      <c r="O192" s="103"/>
      <c r="P192" s="103"/>
      <c r="Q192" s="103"/>
      <c r="R192" s="103"/>
      <c r="S192" s="103"/>
      <c r="T192" s="103"/>
      <c r="U192" s="104">
        <f t="shared" si="55"/>
        <v>0</v>
      </c>
      <c r="V192" s="100"/>
      <c r="W192" s="101"/>
    </row>
    <row r="193" spans="2:23" ht="18" customHeight="1" x14ac:dyDescent="0.4">
      <c r="B193" s="102"/>
      <c r="C193" s="103"/>
      <c r="D193" s="103"/>
      <c r="E193" s="103"/>
      <c r="F193" s="103"/>
      <c r="G193" s="103"/>
      <c r="H193" s="103"/>
      <c r="I193" s="103"/>
      <c r="J193" s="100"/>
      <c r="K193" s="100"/>
      <c r="L193" s="101"/>
      <c r="M193" s="102"/>
      <c r="N193" s="103"/>
      <c r="O193" s="103"/>
      <c r="P193" s="103"/>
      <c r="Q193" s="103"/>
      <c r="R193" s="103"/>
      <c r="S193" s="103"/>
      <c r="T193" s="103"/>
      <c r="U193" s="104">
        <f t="shared" si="55"/>
        <v>0</v>
      </c>
      <c r="V193" s="100"/>
      <c r="W193" s="101"/>
    </row>
    <row r="194" spans="2:23" ht="18" customHeight="1" x14ac:dyDescent="0.4">
      <c r="B194" s="102"/>
      <c r="C194" s="103"/>
      <c r="D194" s="103"/>
      <c r="E194" s="103"/>
      <c r="F194" s="103"/>
      <c r="G194" s="103"/>
      <c r="H194" s="103"/>
      <c r="I194" s="103"/>
      <c r="J194" s="100"/>
      <c r="K194" s="100"/>
      <c r="L194" s="101"/>
      <c r="M194" s="102"/>
      <c r="N194" s="103"/>
      <c r="O194" s="103"/>
      <c r="P194" s="103"/>
      <c r="Q194" s="103"/>
      <c r="R194" s="103"/>
      <c r="S194" s="103"/>
      <c r="T194" s="103"/>
      <c r="U194" s="104">
        <f t="shared" si="55"/>
        <v>0</v>
      </c>
      <c r="V194" s="100"/>
      <c r="W194" s="101"/>
    </row>
    <row r="195" spans="2:23" ht="18" customHeight="1" x14ac:dyDescent="0.4">
      <c r="B195" s="102"/>
      <c r="C195" s="103"/>
      <c r="D195" s="103"/>
      <c r="E195" s="103"/>
      <c r="F195" s="103"/>
      <c r="G195" s="103"/>
      <c r="H195" s="103"/>
      <c r="I195" s="103"/>
      <c r="J195" s="100"/>
      <c r="K195" s="100"/>
      <c r="L195" s="101"/>
      <c r="M195" s="102"/>
      <c r="N195" s="103"/>
      <c r="O195" s="103"/>
      <c r="P195" s="103"/>
      <c r="Q195" s="103"/>
      <c r="R195" s="103"/>
      <c r="S195" s="103"/>
      <c r="T195" s="103"/>
      <c r="U195" s="104">
        <f t="shared" si="55"/>
        <v>0</v>
      </c>
      <c r="V195" s="100"/>
      <c r="W195" s="101"/>
    </row>
    <row r="196" spans="2:23" ht="18" customHeight="1" x14ac:dyDescent="0.4">
      <c r="B196" s="102"/>
      <c r="C196" s="103"/>
      <c r="D196" s="103"/>
      <c r="E196" s="103"/>
      <c r="F196" s="103"/>
      <c r="G196" s="103"/>
      <c r="H196" s="103"/>
      <c r="I196" s="103"/>
      <c r="J196" s="100"/>
      <c r="K196" s="100"/>
      <c r="L196" s="101"/>
      <c r="M196" s="102"/>
      <c r="N196" s="103"/>
      <c r="O196" s="103"/>
      <c r="P196" s="103"/>
      <c r="Q196" s="103"/>
      <c r="R196" s="103"/>
      <c r="S196" s="103"/>
      <c r="T196" s="103"/>
      <c r="U196" s="104">
        <f t="shared" si="55"/>
        <v>0</v>
      </c>
      <c r="V196" s="100"/>
      <c r="W196" s="101"/>
    </row>
    <row r="197" spans="2:23" ht="18" customHeight="1" x14ac:dyDescent="0.4">
      <c r="B197" s="102"/>
      <c r="C197" s="103"/>
      <c r="D197" s="103"/>
      <c r="E197" s="103"/>
      <c r="F197" s="103"/>
      <c r="G197" s="103"/>
      <c r="H197" s="103"/>
      <c r="I197" s="103"/>
      <c r="J197" s="100"/>
      <c r="K197" s="100"/>
      <c r="L197" s="101"/>
      <c r="M197" s="102"/>
      <c r="N197" s="103"/>
      <c r="O197" s="103"/>
      <c r="P197" s="103"/>
      <c r="Q197" s="103"/>
      <c r="R197" s="103"/>
      <c r="S197" s="103"/>
      <c r="T197" s="103"/>
      <c r="U197" s="104">
        <f t="shared" si="55"/>
        <v>0</v>
      </c>
      <c r="V197" s="100"/>
      <c r="W197" s="101"/>
    </row>
    <row r="198" spans="2:23" ht="18" customHeight="1" x14ac:dyDescent="0.4">
      <c r="B198" s="102"/>
      <c r="C198" s="103"/>
      <c r="D198" s="103"/>
      <c r="E198" s="103"/>
      <c r="F198" s="103"/>
      <c r="G198" s="103"/>
      <c r="H198" s="103"/>
      <c r="I198" s="103"/>
      <c r="J198" s="100"/>
      <c r="K198" s="100"/>
      <c r="L198" s="101"/>
      <c r="M198" s="102"/>
      <c r="N198" s="103"/>
      <c r="O198" s="103"/>
      <c r="P198" s="103"/>
      <c r="Q198" s="103"/>
      <c r="R198" s="103"/>
      <c r="S198" s="103"/>
      <c r="T198" s="103"/>
      <c r="U198" s="104">
        <f t="shared" si="55"/>
        <v>0</v>
      </c>
      <c r="V198" s="100"/>
      <c r="W198" s="101"/>
    </row>
    <row r="199" spans="2:23" ht="18" customHeight="1" x14ac:dyDescent="0.4">
      <c r="B199" s="102"/>
      <c r="C199" s="103"/>
      <c r="D199" s="103"/>
      <c r="E199" s="103"/>
      <c r="F199" s="103"/>
      <c r="G199" s="103"/>
      <c r="H199" s="103"/>
      <c r="I199" s="103"/>
      <c r="J199" s="100"/>
      <c r="K199" s="100"/>
      <c r="L199" s="101"/>
      <c r="M199" s="102"/>
      <c r="N199" s="103"/>
      <c r="O199" s="103"/>
      <c r="P199" s="103"/>
      <c r="Q199" s="103"/>
      <c r="R199" s="103"/>
      <c r="S199" s="103"/>
      <c r="T199" s="103"/>
      <c r="U199" s="104">
        <f t="shared" si="55"/>
        <v>0</v>
      </c>
      <c r="V199" s="100"/>
      <c r="W199" s="101"/>
    </row>
    <row r="200" spans="2:23" ht="18" customHeight="1" x14ac:dyDescent="0.4">
      <c r="B200" s="109"/>
      <c r="C200" s="110"/>
      <c r="D200" s="110"/>
      <c r="E200" s="110"/>
      <c r="F200" s="110"/>
      <c r="G200" s="110"/>
      <c r="H200" s="110"/>
      <c r="I200" s="110"/>
      <c r="J200" s="107"/>
      <c r="K200" s="107"/>
      <c r="L200" s="108"/>
      <c r="M200" s="109"/>
      <c r="N200" s="110"/>
      <c r="O200" s="110"/>
      <c r="P200" s="110"/>
      <c r="Q200" s="110"/>
      <c r="R200" s="110"/>
      <c r="S200" s="110"/>
      <c r="T200" s="110"/>
      <c r="U200" s="111">
        <f t="shared" si="55"/>
        <v>0</v>
      </c>
      <c r="V200" s="107"/>
      <c r="W200" s="108"/>
    </row>
    <row r="201" spans="2:23" ht="18" customHeight="1" x14ac:dyDescent="0.4">
      <c r="B201" s="86"/>
      <c r="C201" s="87"/>
      <c r="D201" s="87"/>
      <c r="E201" s="87"/>
      <c r="F201" s="87"/>
      <c r="G201" s="87"/>
      <c r="H201" s="87"/>
      <c r="I201" s="87"/>
      <c r="J201" s="88" t="s">
        <v>105</v>
      </c>
      <c r="K201" s="87"/>
      <c r="L201" s="89"/>
      <c r="M201" s="90">
        <f>B201</f>
        <v>0</v>
      </c>
      <c r="N201" s="87"/>
      <c r="O201" s="87"/>
      <c r="P201" s="87"/>
      <c r="Q201" s="87"/>
      <c r="R201" s="87"/>
      <c r="S201" s="87"/>
      <c r="T201" s="87"/>
      <c r="U201" s="88" t="s">
        <v>105</v>
      </c>
      <c r="V201" s="87"/>
      <c r="W201" s="89"/>
    </row>
    <row r="202" spans="2:23" ht="18" customHeight="1" x14ac:dyDescent="0.4">
      <c r="B202" s="95"/>
      <c r="C202" s="96"/>
      <c r="D202" s="96"/>
      <c r="E202" s="96"/>
      <c r="F202" s="96"/>
      <c r="G202" s="96"/>
      <c r="H202" s="96"/>
      <c r="I202" s="96"/>
      <c r="J202" s="93"/>
      <c r="K202" s="93"/>
      <c r="L202" s="94"/>
      <c r="M202" s="95"/>
      <c r="N202" s="96"/>
      <c r="O202" s="96"/>
      <c r="P202" s="96"/>
      <c r="Q202" s="96"/>
      <c r="R202" s="96"/>
      <c r="S202" s="96"/>
      <c r="T202" s="96"/>
      <c r="U202" s="97">
        <f t="shared" ref="U202:U211" si="56">J202</f>
        <v>0</v>
      </c>
      <c r="V202" s="93"/>
      <c r="W202" s="94"/>
    </row>
    <row r="203" spans="2:23" ht="18" customHeight="1" x14ac:dyDescent="0.4">
      <c r="B203" s="102"/>
      <c r="C203" s="103"/>
      <c r="D203" s="103"/>
      <c r="E203" s="103"/>
      <c r="F203" s="103"/>
      <c r="G203" s="103"/>
      <c r="H203" s="103"/>
      <c r="I203" s="103"/>
      <c r="J203" s="100"/>
      <c r="K203" s="100"/>
      <c r="L203" s="101"/>
      <c r="M203" s="102"/>
      <c r="N203" s="103"/>
      <c r="O203" s="103"/>
      <c r="P203" s="103"/>
      <c r="Q203" s="103"/>
      <c r="R203" s="103"/>
      <c r="S203" s="103"/>
      <c r="T203" s="103"/>
      <c r="U203" s="104">
        <f t="shared" si="56"/>
        <v>0</v>
      </c>
      <c r="V203" s="100"/>
      <c r="W203" s="101"/>
    </row>
    <row r="204" spans="2:23" ht="18" customHeight="1" x14ac:dyDescent="0.4">
      <c r="B204" s="102"/>
      <c r="C204" s="103"/>
      <c r="D204" s="103"/>
      <c r="E204" s="103"/>
      <c r="F204" s="103"/>
      <c r="G204" s="103"/>
      <c r="H204" s="103"/>
      <c r="I204" s="103"/>
      <c r="J204" s="100"/>
      <c r="K204" s="100"/>
      <c r="L204" s="101"/>
      <c r="M204" s="102"/>
      <c r="N204" s="103"/>
      <c r="O204" s="103"/>
      <c r="P204" s="103"/>
      <c r="Q204" s="103"/>
      <c r="R204" s="103"/>
      <c r="S204" s="103"/>
      <c r="T204" s="103"/>
      <c r="U204" s="104">
        <f t="shared" si="56"/>
        <v>0</v>
      </c>
      <c r="V204" s="100"/>
      <c r="W204" s="101"/>
    </row>
    <row r="205" spans="2:23" ht="18" customHeight="1" x14ac:dyDescent="0.4">
      <c r="B205" s="102"/>
      <c r="C205" s="103"/>
      <c r="D205" s="103"/>
      <c r="E205" s="103"/>
      <c r="F205" s="103"/>
      <c r="G205" s="103"/>
      <c r="H205" s="103"/>
      <c r="I205" s="103"/>
      <c r="J205" s="100"/>
      <c r="K205" s="100"/>
      <c r="L205" s="101"/>
      <c r="M205" s="102"/>
      <c r="N205" s="103"/>
      <c r="O205" s="103"/>
      <c r="P205" s="103"/>
      <c r="Q205" s="103"/>
      <c r="R205" s="103"/>
      <c r="S205" s="103"/>
      <c r="T205" s="103"/>
      <c r="U205" s="104">
        <f t="shared" si="56"/>
        <v>0</v>
      </c>
      <c r="V205" s="100"/>
      <c r="W205" s="101"/>
    </row>
    <row r="206" spans="2:23" ht="18" customHeight="1" x14ac:dyDescent="0.4">
      <c r="B206" s="102"/>
      <c r="C206" s="103"/>
      <c r="D206" s="103"/>
      <c r="E206" s="103"/>
      <c r="F206" s="103"/>
      <c r="G206" s="103"/>
      <c r="H206" s="103"/>
      <c r="I206" s="103"/>
      <c r="J206" s="100"/>
      <c r="K206" s="100"/>
      <c r="L206" s="101"/>
      <c r="M206" s="102"/>
      <c r="N206" s="103"/>
      <c r="O206" s="103"/>
      <c r="P206" s="103"/>
      <c r="Q206" s="103"/>
      <c r="R206" s="103"/>
      <c r="S206" s="103"/>
      <c r="T206" s="103"/>
      <c r="U206" s="104">
        <f t="shared" si="56"/>
        <v>0</v>
      </c>
      <c r="V206" s="100"/>
      <c r="W206" s="101"/>
    </row>
    <row r="207" spans="2:23" ht="18" customHeight="1" x14ac:dyDescent="0.4">
      <c r="B207" s="102"/>
      <c r="C207" s="103"/>
      <c r="D207" s="103"/>
      <c r="E207" s="103"/>
      <c r="F207" s="103"/>
      <c r="G207" s="103"/>
      <c r="H207" s="103"/>
      <c r="I207" s="103"/>
      <c r="J207" s="100"/>
      <c r="K207" s="100"/>
      <c r="L207" s="101"/>
      <c r="M207" s="102"/>
      <c r="N207" s="103"/>
      <c r="O207" s="103"/>
      <c r="P207" s="103"/>
      <c r="Q207" s="103"/>
      <c r="R207" s="103"/>
      <c r="S207" s="103"/>
      <c r="T207" s="103"/>
      <c r="U207" s="104">
        <f t="shared" si="56"/>
        <v>0</v>
      </c>
      <c r="V207" s="100"/>
      <c r="W207" s="101"/>
    </row>
    <row r="208" spans="2:23" ht="18" customHeight="1" x14ac:dyDescent="0.4">
      <c r="B208" s="102"/>
      <c r="C208" s="103"/>
      <c r="D208" s="103"/>
      <c r="E208" s="103"/>
      <c r="F208" s="103"/>
      <c r="G208" s="103"/>
      <c r="H208" s="103"/>
      <c r="I208" s="103"/>
      <c r="J208" s="100"/>
      <c r="K208" s="100"/>
      <c r="L208" s="101"/>
      <c r="M208" s="102"/>
      <c r="N208" s="103"/>
      <c r="O208" s="103"/>
      <c r="P208" s="103"/>
      <c r="Q208" s="103"/>
      <c r="R208" s="103"/>
      <c r="S208" s="103"/>
      <c r="T208" s="103"/>
      <c r="U208" s="104">
        <f t="shared" si="56"/>
        <v>0</v>
      </c>
      <c r="V208" s="100"/>
      <c r="W208" s="101"/>
    </row>
    <row r="209" spans="2:23" ht="18" customHeight="1" x14ac:dyDescent="0.4">
      <c r="B209" s="102"/>
      <c r="C209" s="103"/>
      <c r="D209" s="103"/>
      <c r="E209" s="103"/>
      <c r="F209" s="103"/>
      <c r="G209" s="103"/>
      <c r="H209" s="103"/>
      <c r="I209" s="103"/>
      <c r="J209" s="100"/>
      <c r="K209" s="100"/>
      <c r="L209" s="101"/>
      <c r="M209" s="102"/>
      <c r="N209" s="103"/>
      <c r="O209" s="103"/>
      <c r="P209" s="103"/>
      <c r="Q209" s="103"/>
      <c r="R209" s="103"/>
      <c r="S209" s="103"/>
      <c r="T209" s="103"/>
      <c r="U209" s="104">
        <f t="shared" si="56"/>
        <v>0</v>
      </c>
      <c r="V209" s="100"/>
      <c r="W209" s="101"/>
    </row>
    <row r="210" spans="2:23" ht="18" customHeight="1" x14ac:dyDescent="0.4">
      <c r="B210" s="102"/>
      <c r="C210" s="103"/>
      <c r="D210" s="103"/>
      <c r="E210" s="103"/>
      <c r="F210" s="103"/>
      <c r="G210" s="103"/>
      <c r="H210" s="103"/>
      <c r="I210" s="103"/>
      <c r="J210" s="100"/>
      <c r="K210" s="100"/>
      <c r="L210" s="101"/>
      <c r="M210" s="102"/>
      <c r="N210" s="103"/>
      <c r="O210" s="103"/>
      <c r="P210" s="103"/>
      <c r="Q210" s="103"/>
      <c r="R210" s="103"/>
      <c r="S210" s="103"/>
      <c r="T210" s="103"/>
      <c r="U210" s="104">
        <f t="shared" si="56"/>
        <v>0</v>
      </c>
      <c r="V210" s="100"/>
      <c r="W210" s="101"/>
    </row>
    <row r="211" spans="2:23" ht="18" customHeight="1" x14ac:dyDescent="0.4">
      <c r="B211" s="109"/>
      <c r="C211" s="110"/>
      <c r="D211" s="110"/>
      <c r="E211" s="110"/>
      <c r="F211" s="110"/>
      <c r="G211" s="110"/>
      <c r="H211" s="110"/>
      <c r="I211" s="110"/>
      <c r="J211" s="107"/>
      <c r="K211" s="107"/>
      <c r="L211" s="108"/>
      <c r="M211" s="109"/>
      <c r="N211" s="110"/>
      <c r="O211" s="110"/>
      <c r="P211" s="110"/>
      <c r="Q211" s="110"/>
      <c r="R211" s="110"/>
      <c r="S211" s="110"/>
      <c r="T211" s="110"/>
      <c r="U211" s="111">
        <f t="shared" si="56"/>
        <v>0</v>
      </c>
      <c r="V211" s="107"/>
      <c r="W211" s="108"/>
    </row>
    <row r="212" spans="2:23" ht="18" customHeight="1" x14ac:dyDescent="0.4">
      <c r="B212" s="86"/>
      <c r="C212" s="87"/>
      <c r="D212" s="87"/>
      <c r="E212" s="87"/>
      <c r="F212" s="87"/>
      <c r="G212" s="87"/>
      <c r="H212" s="87"/>
      <c r="I212" s="87"/>
      <c r="J212" s="88" t="s">
        <v>105</v>
      </c>
      <c r="K212" s="87"/>
      <c r="L212" s="89"/>
      <c r="M212" s="90">
        <f>B212</f>
        <v>0</v>
      </c>
      <c r="N212" s="87"/>
      <c r="O212" s="87"/>
      <c r="P212" s="87"/>
      <c r="Q212" s="87"/>
      <c r="R212" s="87"/>
      <c r="S212" s="87"/>
      <c r="T212" s="87"/>
      <c r="U212" s="88" t="s">
        <v>105</v>
      </c>
      <c r="V212" s="87"/>
      <c r="W212" s="89"/>
    </row>
    <row r="213" spans="2:23" ht="18" customHeight="1" x14ac:dyDescent="0.4">
      <c r="B213" s="95"/>
      <c r="C213" s="96"/>
      <c r="D213" s="96"/>
      <c r="E213" s="96"/>
      <c r="F213" s="96"/>
      <c r="G213" s="96"/>
      <c r="H213" s="96"/>
      <c r="I213" s="96"/>
      <c r="J213" s="93"/>
      <c r="K213" s="93"/>
      <c r="L213" s="94"/>
      <c r="M213" s="95"/>
      <c r="N213" s="96"/>
      <c r="O213" s="96"/>
      <c r="P213" s="96"/>
      <c r="Q213" s="96"/>
      <c r="R213" s="96"/>
      <c r="S213" s="96"/>
      <c r="T213" s="96"/>
      <c r="U213" s="97">
        <f t="shared" ref="U213:U222" si="57">J213</f>
        <v>0</v>
      </c>
      <c r="V213" s="93"/>
      <c r="W213" s="94"/>
    </row>
    <row r="214" spans="2:23" ht="18" customHeight="1" x14ac:dyDescent="0.4">
      <c r="B214" s="102"/>
      <c r="C214" s="103"/>
      <c r="D214" s="103"/>
      <c r="E214" s="103"/>
      <c r="F214" s="103"/>
      <c r="G214" s="103"/>
      <c r="H214" s="103"/>
      <c r="I214" s="103"/>
      <c r="J214" s="100"/>
      <c r="K214" s="100"/>
      <c r="L214" s="101"/>
      <c r="M214" s="102"/>
      <c r="N214" s="103"/>
      <c r="O214" s="103"/>
      <c r="P214" s="103"/>
      <c r="Q214" s="103"/>
      <c r="R214" s="103"/>
      <c r="S214" s="103"/>
      <c r="T214" s="103"/>
      <c r="U214" s="104">
        <f t="shared" si="57"/>
        <v>0</v>
      </c>
      <c r="V214" s="100"/>
      <c r="W214" s="101"/>
    </row>
    <row r="215" spans="2:23" ht="18" customHeight="1" x14ac:dyDescent="0.4">
      <c r="B215" s="102"/>
      <c r="C215" s="103"/>
      <c r="D215" s="103"/>
      <c r="E215" s="103"/>
      <c r="F215" s="103"/>
      <c r="G215" s="103"/>
      <c r="H215" s="103"/>
      <c r="I215" s="103"/>
      <c r="J215" s="100"/>
      <c r="K215" s="100"/>
      <c r="L215" s="101"/>
      <c r="M215" s="102"/>
      <c r="N215" s="103"/>
      <c r="O215" s="103"/>
      <c r="P215" s="103"/>
      <c r="Q215" s="103"/>
      <c r="R215" s="103"/>
      <c r="S215" s="103"/>
      <c r="T215" s="103"/>
      <c r="U215" s="104">
        <f t="shared" si="57"/>
        <v>0</v>
      </c>
      <c r="V215" s="100"/>
      <c r="W215" s="101"/>
    </row>
    <row r="216" spans="2:23" ht="18" customHeight="1" x14ac:dyDescent="0.4">
      <c r="B216" s="102"/>
      <c r="C216" s="103"/>
      <c r="D216" s="103"/>
      <c r="E216" s="103"/>
      <c r="F216" s="103"/>
      <c r="G216" s="103"/>
      <c r="H216" s="103"/>
      <c r="I216" s="103"/>
      <c r="J216" s="100"/>
      <c r="K216" s="100"/>
      <c r="L216" s="101"/>
      <c r="M216" s="102"/>
      <c r="N216" s="103"/>
      <c r="O216" s="103"/>
      <c r="P216" s="103"/>
      <c r="Q216" s="103"/>
      <c r="R216" s="103"/>
      <c r="S216" s="103"/>
      <c r="T216" s="103"/>
      <c r="U216" s="104">
        <f t="shared" si="57"/>
        <v>0</v>
      </c>
      <c r="V216" s="100"/>
      <c r="W216" s="101"/>
    </row>
    <row r="217" spans="2:23" ht="18" customHeight="1" x14ac:dyDescent="0.4">
      <c r="B217" s="102"/>
      <c r="C217" s="103"/>
      <c r="D217" s="103"/>
      <c r="E217" s="103"/>
      <c r="F217" s="103"/>
      <c r="G217" s="103"/>
      <c r="H217" s="103"/>
      <c r="I217" s="103"/>
      <c r="J217" s="100"/>
      <c r="K217" s="100"/>
      <c r="L217" s="101"/>
      <c r="M217" s="102"/>
      <c r="N217" s="103"/>
      <c r="O217" s="103"/>
      <c r="P217" s="103"/>
      <c r="Q217" s="103"/>
      <c r="R217" s="103"/>
      <c r="S217" s="103"/>
      <c r="T217" s="103"/>
      <c r="U217" s="104">
        <f t="shared" si="57"/>
        <v>0</v>
      </c>
      <c r="V217" s="100"/>
      <c r="W217" s="101"/>
    </row>
    <row r="218" spans="2:23" ht="18" customHeight="1" x14ac:dyDescent="0.4">
      <c r="B218" s="102"/>
      <c r="C218" s="103"/>
      <c r="D218" s="103"/>
      <c r="E218" s="103"/>
      <c r="F218" s="103"/>
      <c r="G218" s="103"/>
      <c r="H218" s="103"/>
      <c r="I218" s="103"/>
      <c r="J218" s="100"/>
      <c r="K218" s="100"/>
      <c r="L218" s="101"/>
      <c r="M218" s="102"/>
      <c r="N218" s="103"/>
      <c r="O218" s="103"/>
      <c r="P218" s="103"/>
      <c r="Q218" s="103"/>
      <c r="R218" s="103"/>
      <c r="S218" s="103"/>
      <c r="T218" s="103"/>
      <c r="U218" s="104">
        <f t="shared" si="57"/>
        <v>0</v>
      </c>
      <c r="V218" s="100"/>
      <c r="W218" s="101"/>
    </row>
    <row r="219" spans="2:23" ht="18" customHeight="1" x14ac:dyDescent="0.4">
      <c r="B219" s="102"/>
      <c r="C219" s="103"/>
      <c r="D219" s="103"/>
      <c r="E219" s="103"/>
      <c r="F219" s="103"/>
      <c r="G219" s="103"/>
      <c r="H219" s="103"/>
      <c r="I219" s="103"/>
      <c r="J219" s="100"/>
      <c r="K219" s="100"/>
      <c r="L219" s="101"/>
      <c r="M219" s="102"/>
      <c r="N219" s="103"/>
      <c r="O219" s="103"/>
      <c r="P219" s="103"/>
      <c r="Q219" s="103"/>
      <c r="R219" s="103"/>
      <c r="S219" s="103"/>
      <c r="T219" s="103"/>
      <c r="U219" s="104">
        <f t="shared" si="57"/>
        <v>0</v>
      </c>
      <c r="V219" s="100"/>
      <c r="W219" s="101"/>
    </row>
    <row r="220" spans="2:23" ht="18" customHeight="1" x14ac:dyDescent="0.4">
      <c r="B220" s="102"/>
      <c r="C220" s="103"/>
      <c r="D220" s="103"/>
      <c r="E220" s="103"/>
      <c r="F220" s="103"/>
      <c r="G220" s="103"/>
      <c r="H220" s="103"/>
      <c r="I220" s="103"/>
      <c r="J220" s="100"/>
      <c r="K220" s="100"/>
      <c r="L220" s="101"/>
      <c r="M220" s="102"/>
      <c r="N220" s="103"/>
      <c r="O220" s="103"/>
      <c r="P220" s="103"/>
      <c r="Q220" s="103"/>
      <c r="R220" s="103"/>
      <c r="S220" s="103"/>
      <c r="T220" s="103"/>
      <c r="U220" s="104">
        <f t="shared" si="57"/>
        <v>0</v>
      </c>
      <c r="V220" s="100"/>
      <c r="W220" s="101"/>
    </row>
    <row r="221" spans="2:23" ht="18" customHeight="1" x14ac:dyDescent="0.4">
      <c r="B221" s="102"/>
      <c r="C221" s="103"/>
      <c r="D221" s="103"/>
      <c r="E221" s="103"/>
      <c r="F221" s="103"/>
      <c r="G221" s="103"/>
      <c r="H221" s="103"/>
      <c r="I221" s="103"/>
      <c r="J221" s="100"/>
      <c r="K221" s="100"/>
      <c r="L221" s="101"/>
      <c r="M221" s="102"/>
      <c r="N221" s="103"/>
      <c r="O221" s="103"/>
      <c r="P221" s="103"/>
      <c r="Q221" s="103"/>
      <c r="R221" s="103"/>
      <c r="S221" s="103"/>
      <c r="T221" s="103"/>
      <c r="U221" s="104">
        <f t="shared" si="57"/>
        <v>0</v>
      </c>
      <c r="V221" s="100"/>
      <c r="W221" s="101"/>
    </row>
    <row r="222" spans="2:23" ht="18" customHeight="1" x14ac:dyDescent="0.4">
      <c r="B222" s="109"/>
      <c r="C222" s="110"/>
      <c r="D222" s="110"/>
      <c r="E222" s="110"/>
      <c r="F222" s="110"/>
      <c r="G222" s="110"/>
      <c r="H222" s="110"/>
      <c r="I222" s="110"/>
      <c r="J222" s="107"/>
      <c r="K222" s="107"/>
      <c r="L222" s="108"/>
      <c r="M222" s="109"/>
      <c r="N222" s="110"/>
      <c r="O222" s="110"/>
      <c r="P222" s="110"/>
      <c r="Q222" s="110"/>
      <c r="R222" s="110"/>
      <c r="S222" s="110"/>
      <c r="T222" s="110"/>
      <c r="U222" s="111">
        <f t="shared" si="57"/>
        <v>0</v>
      </c>
      <c r="V222" s="107"/>
      <c r="W222" s="108"/>
    </row>
    <row r="223" spans="2:23" ht="18" customHeight="1" x14ac:dyDescent="0.4">
      <c r="B223" s="86"/>
      <c r="C223" s="87"/>
      <c r="D223" s="87"/>
      <c r="E223" s="87"/>
      <c r="F223" s="87"/>
      <c r="G223" s="87"/>
      <c r="H223" s="87"/>
      <c r="I223" s="87"/>
      <c r="J223" s="88" t="s">
        <v>105</v>
      </c>
      <c r="K223" s="87"/>
      <c r="L223" s="89"/>
      <c r="M223" s="90">
        <f>B223</f>
        <v>0</v>
      </c>
      <c r="N223" s="87"/>
      <c r="O223" s="87"/>
      <c r="P223" s="87"/>
      <c r="Q223" s="87"/>
      <c r="R223" s="87"/>
      <c r="S223" s="87"/>
      <c r="T223" s="87"/>
      <c r="U223" s="88" t="s">
        <v>105</v>
      </c>
      <c r="V223" s="87"/>
      <c r="W223" s="89"/>
    </row>
    <row r="224" spans="2:23" ht="18" customHeight="1" x14ac:dyDescent="0.4">
      <c r="B224" s="95"/>
      <c r="C224" s="96"/>
      <c r="D224" s="96"/>
      <c r="E224" s="96"/>
      <c r="F224" s="96"/>
      <c r="G224" s="96"/>
      <c r="H224" s="96"/>
      <c r="I224" s="96"/>
      <c r="J224" s="93"/>
      <c r="K224" s="93"/>
      <c r="L224" s="94"/>
      <c r="M224" s="95"/>
      <c r="N224" s="96"/>
      <c r="O224" s="96"/>
      <c r="P224" s="96"/>
      <c r="Q224" s="96"/>
      <c r="R224" s="96"/>
      <c r="S224" s="96"/>
      <c r="T224" s="96"/>
      <c r="U224" s="97">
        <f t="shared" ref="U224:U233" si="58">J224</f>
        <v>0</v>
      </c>
      <c r="V224" s="93"/>
      <c r="W224" s="94"/>
    </row>
    <row r="225" spans="2:23" ht="18" customHeight="1" x14ac:dyDescent="0.4">
      <c r="B225" s="102"/>
      <c r="C225" s="103"/>
      <c r="D225" s="103"/>
      <c r="E225" s="103"/>
      <c r="F225" s="103"/>
      <c r="G225" s="103"/>
      <c r="H225" s="103"/>
      <c r="I225" s="103"/>
      <c r="J225" s="100"/>
      <c r="K225" s="100"/>
      <c r="L225" s="101"/>
      <c r="M225" s="102"/>
      <c r="N225" s="103"/>
      <c r="O225" s="103"/>
      <c r="P225" s="103"/>
      <c r="Q225" s="103"/>
      <c r="R225" s="103"/>
      <c r="S225" s="103"/>
      <c r="T225" s="103"/>
      <c r="U225" s="104">
        <f t="shared" si="58"/>
        <v>0</v>
      </c>
      <c r="V225" s="100"/>
      <c r="W225" s="101"/>
    </row>
    <row r="226" spans="2:23" ht="18" customHeight="1" x14ac:dyDescent="0.4">
      <c r="B226" s="102"/>
      <c r="C226" s="103"/>
      <c r="D226" s="103"/>
      <c r="E226" s="103"/>
      <c r="F226" s="103"/>
      <c r="G226" s="103"/>
      <c r="H226" s="103"/>
      <c r="I226" s="103"/>
      <c r="J226" s="100"/>
      <c r="K226" s="100"/>
      <c r="L226" s="101"/>
      <c r="M226" s="102"/>
      <c r="N226" s="103"/>
      <c r="O226" s="103"/>
      <c r="P226" s="103"/>
      <c r="Q226" s="103"/>
      <c r="R226" s="103"/>
      <c r="S226" s="103"/>
      <c r="T226" s="103"/>
      <c r="U226" s="104">
        <f t="shared" si="58"/>
        <v>0</v>
      </c>
      <c r="V226" s="100"/>
      <c r="W226" s="101"/>
    </row>
    <row r="227" spans="2:23" ht="18" customHeight="1" x14ac:dyDescent="0.4">
      <c r="B227" s="102"/>
      <c r="C227" s="103"/>
      <c r="D227" s="103"/>
      <c r="E227" s="103"/>
      <c r="F227" s="103"/>
      <c r="G227" s="103"/>
      <c r="H227" s="103"/>
      <c r="I227" s="103"/>
      <c r="J227" s="100"/>
      <c r="K227" s="100"/>
      <c r="L227" s="101"/>
      <c r="M227" s="102"/>
      <c r="N227" s="103"/>
      <c r="O227" s="103"/>
      <c r="P227" s="103"/>
      <c r="Q227" s="103"/>
      <c r="R227" s="103"/>
      <c r="S227" s="103"/>
      <c r="T227" s="103"/>
      <c r="U227" s="104">
        <f t="shared" si="58"/>
        <v>0</v>
      </c>
      <c r="V227" s="100"/>
      <c r="W227" s="101"/>
    </row>
    <row r="228" spans="2:23" ht="18" customHeight="1" x14ac:dyDescent="0.4">
      <c r="B228" s="102"/>
      <c r="C228" s="103"/>
      <c r="D228" s="103"/>
      <c r="E228" s="103"/>
      <c r="F228" s="103"/>
      <c r="G228" s="103"/>
      <c r="H228" s="103"/>
      <c r="I228" s="103"/>
      <c r="J228" s="100"/>
      <c r="K228" s="100"/>
      <c r="L228" s="101"/>
      <c r="M228" s="102"/>
      <c r="N228" s="103"/>
      <c r="O228" s="103"/>
      <c r="P228" s="103"/>
      <c r="Q228" s="103"/>
      <c r="R228" s="103"/>
      <c r="S228" s="103"/>
      <c r="T228" s="103"/>
      <c r="U228" s="104">
        <f t="shared" si="58"/>
        <v>0</v>
      </c>
      <c r="V228" s="100"/>
      <c r="W228" s="101"/>
    </row>
    <row r="229" spans="2:23" ht="18" customHeight="1" x14ac:dyDescent="0.4">
      <c r="B229" s="102"/>
      <c r="C229" s="103"/>
      <c r="D229" s="103"/>
      <c r="E229" s="103"/>
      <c r="F229" s="103"/>
      <c r="G229" s="103"/>
      <c r="H229" s="103"/>
      <c r="I229" s="103"/>
      <c r="J229" s="100"/>
      <c r="K229" s="100"/>
      <c r="L229" s="101"/>
      <c r="M229" s="102"/>
      <c r="N229" s="103"/>
      <c r="O229" s="103"/>
      <c r="P229" s="103"/>
      <c r="Q229" s="103"/>
      <c r="R229" s="103"/>
      <c r="S229" s="103"/>
      <c r="T229" s="103"/>
      <c r="U229" s="104">
        <f t="shared" si="58"/>
        <v>0</v>
      </c>
      <c r="V229" s="100"/>
      <c r="W229" s="101"/>
    </row>
    <row r="230" spans="2:23" ht="18" customHeight="1" x14ac:dyDescent="0.4">
      <c r="B230" s="102"/>
      <c r="C230" s="103"/>
      <c r="D230" s="103"/>
      <c r="E230" s="103"/>
      <c r="F230" s="103"/>
      <c r="G230" s="103"/>
      <c r="H230" s="103"/>
      <c r="I230" s="103"/>
      <c r="J230" s="100"/>
      <c r="K230" s="100"/>
      <c r="L230" s="101"/>
      <c r="M230" s="102"/>
      <c r="N230" s="103"/>
      <c r="O230" s="103"/>
      <c r="P230" s="103"/>
      <c r="Q230" s="103"/>
      <c r="R230" s="103"/>
      <c r="S230" s="103"/>
      <c r="T230" s="103"/>
      <c r="U230" s="104">
        <f t="shared" si="58"/>
        <v>0</v>
      </c>
      <c r="V230" s="100"/>
      <c r="W230" s="101"/>
    </row>
    <row r="231" spans="2:23" ht="18" customHeight="1" x14ac:dyDescent="0.4">
      <c r="B231" s="102"/>
      <c r="C231" s="103"/>
      <c r="D231" s="103"/>
      <c r="E231" s="103"/>
      <c r="F231" s="103"/>
      <c r="G231" s="103"/>
      <c r="H231" s="103"/>
      <c r="I231" s="103"/>
      <c r="J231" s="100"/>
      <c r="K231" s="100"/>
      <c r="L231" s="101"/>
      <c r="M231" s="102"/>
      <c r="N231" s="103"/>
      <c r="O231" s="103"/>
      <c r="P231" s="103"/>
      <c r="Q231" s="103"/>
      <c r="R231" s="103"/>
      <c r="S231" s="103"/>
      <c r="T231" s="103"/>
      <c r="U231" s="104">
        <f t="shared" si="58"/>
        <v>0</v>
      </c>
      <c r="V231" s="100"/>
      <c r="W231" s="101"/>
    </row>
    <row r="232" spans="2:23" ht="18" customHeight="1" x14ac:dyDescent="0.4">
      <c r="B232" s="102"/>
      <c r="C232" s="103"/>
      <c r="D232" s="103"/>
      <c r="E232" s="103"/>
      <c r="F232" s="103"/>
      <c r="G232" s="103"/>
      <c r="H232" s="103"/>
      <c r="I232" s="103"/>
      <c r="J232" s="100"/>
      <c r="K232" s="100"/>
      <c r="L232" s="101"/>
      <c r="M232" s="102"/>
      <c r="N232" s="103"/>
      <c r="O232" s="103"/>
      <c r="P232" s="103"/>
      <c r="Q232" s="103"/>
      <c r="R232" s="103"/>
      <c r="S232" s="103"/>
      <c r="T232" s="103"/>
      <c r="U232" s="104">
        <f t="shared" si="58"/>
        <v>0</v>
      </c>
      <c r="V232" s="100"/>
      <c r="W232" s="101"/>
    </row>
    <row r="233" spans="2:23" ht="18" customHeight="1" x14ac:dyDescent="0.4">
      <c r="B233" s="109"/>
      <c r="C233" s="110"/>
      <c r="D233" s="110"/>
      <c r="E233" s="110"/>
      <c r="F233" s="110"/>
      <c r="G233" s="110"/>
      <c r="H233" s="110"/>
      <c r="I233" s="110"/>
      <c r="J233" s="107"/>
      <c r="K233" s="107"/>
      <c r="L233" s="108"/>
      <c r="M233" s="109"/>
      <c r="N233" s="110"/>
      <c r="O233" s="110"/>
      <c r="P233" s="110"/>
      <c r="Q233" s="110"/>
      <c r="R233" s="110"/>
      <c r="S233" s="110"/>
      <c r="T233" s="110"/>
      <c r="U233" s="111">
        <f t="shared" si="58"/>
        <v>0</v>
      </c>
      <c r="V233" s="107"/>
      <c r="W233" s="108"/>
    </row>
    <row r="234" spans="2:23" ht="18" customHeight="1" x14ac:dyDescent="0.4">
      <c r="B234" s="86"/>
      <c r="C234" s="87"/>
      <c r="D234" s="87"/>
      <c r="E234" s="87"/>
      <c r="F234" s="87"/>
      <c r="G234" s="87"/>
      <c r="H234" s="87"/>
      <c r="I234" s="87"/>
      <c r="J234" s="88" t="s">
        <v>105</v>
      </c>
      <c r="K234" s="87"/>
      <c r="L234" s="89"/>
      <c r="M234" s="90">
        <f>B234</f>
        <v>0</v>
      </c>
      <c r="N234" s="87"/>
      <c r="O234" s="87"/>
      <c r="P234" s="87"/>
      <c r="Q234" s="87"/>
      <c r="R234" s="87"/>
      <c r="S234" s="87"/>
      <c r="T234" s="87"/>
      <c r="U234" s="88" t="s">
        <v>105</v>
      </c>
      <c r="V234" s="87"/>
      <c r="W234" s="89"/>
    </row>
    <row r="235" spans="2:23" ht="18" customHeight="1" x14ac:dyDescent="0.4">
      <c r="B235" s="95"/>
      <c r="C235" s="96"/>
      <c r="D235" s="96"/>
      <c r="E235" s="96"/>
      <c r="F235" s="96"/>
      <c r="G235" s="96"/>
      <c r="H235" s="96"/>
      <c r="I235" s="96"/>
      <c r="J235" s="93"/>
      <c r="K235" s="93"/>
      <c r="L235" s="94"/>
      <c r="M235" s="95"/>
      <c r="N235" s="96"/>
      <c r="O235" s="96"/>
      <c r="P235" s="96"/>
      <c r="Q235" s="96"/>
      <c r="R235" s="96"/>
      <c r="S235" s="96"/>
      <c r="T235" s="96"/>
      <c r="U235" s="97">
        <f t="shared" ref="U235:U244" si="59">J235</f>
        <v>0</v>
      </c>
      <c r="V235" s="93"/>
      <c r="W235" s="94"/>
    </row>
    <row r="236" spans="2:23" ht="18" customHeight="1" x14ac:dyDescent="0.4">
      <c r="B236" s="102"/>
      <c r="C236" s="103"/>
      <c r="D236" s="103"/>
      <c r="E236" s="103"/>
      <c r="F236" s="103"/>
      <c r="G236" s="103"/>
      <c r="H236" s="103"/>
      <c r="I236" s="103"/>
      <c r="J236" s="100"/>
      <c r="K236" s="100"/>
      <c r="L236" s="101"/>
      <c r="M236" s="102"/>
      <c r="N236" s="103"/>
      <c r="O236" s="103"/>
      <c r="P236" s="103"/>
      <c r="Q236" s="103"/>
      <c r="R236" s="103"/>
      <c r="S236" s="103"/>
      <c r="T236" s="103"/>
      <c r="U236" s="104">
        <f t="shared" si="59"/>
        <v>0</v>
      </c>
      <c r="V236" s="100"/>
      <c r="W236" s="101"/>
    </row>
    <row r="237" spans="2:23" ht="18" customHeight="1" x14ac:dyDescent="0.4">
      <c r="B237" s="102"/>
      <c r="C237" s="103"/>
      <c r="D237" s="103"/>
      <c r="E237" s="103"/>
      <c r="F237" s="103"/>
      <c r="G237" s="103"/>
      <c r="H237" s="103"/>
      <c r="I237" s="103"/>
      <c r="J237" s="100"/>
      <c r="K237" s="100"/>
      <c r="L237" s="101"/>
      <c r="M237" s="102"/>
      <c r="N237" s="103"/>
      <c r="O237" s="103"/>
      <c r="P237" s="103"/>
      <c r="Q237" s="103"/>
      <c r="R237" s="103"/>
      <c r="S237" s="103"/>
      <c r="T237" s="103"/>
      <c r="U237" s="104">
        <f t="shared" si="59"/>
        <v>0</v>
      </c>
      <c r="V237" s="100"/>
      <c r="W237" s="101"/>
    </row>
    <row r="238" spans="2:23" ht="18" customHeight="1" x14ac:dyDescent="0.4">
      <c r="B238" s="102"/>
      <c r="C238" s="103"/>
      <c r="D238" s="103"/>
      <c r="E238" s="103"/>
      <c r="F238" s="103"/>
      <c r="G238" s="103"/>
      <c r="H238" s="103"/>
      <c r="I238" s="103"/>
      <c r="J238" s="100"/>
      <c r="K238" s="100"/>
      <c r="L238" s="101"/>
      <c r="M238" s="102"/>
      <c r="N238" s="103"/>
      <c r="O238" s="103"/>
      <c r="P238" s="103"/>
      <c r="Q238" s="103"/>
      <c r="R238" s="103"/>
      <c r="S238" s="103"/>
      <c r="T238" s="103"/>
      <c r="U238" s="104">
        <f t="shared" si="59"/>
        <v>0</v>
      </c>
      <c r="V238" s="100"/>
      <c r="W238" s="101"/>
    </row>
    <row r="239" spans="2:23" ht="18" customHeight="1" x14ac:dyDescent="0.4">
      <c r="B239" s="102"/>
      <c r="C239" s="103"/>
      <c r="D239" s="103"/>
      <c r="E239" s="103"/>
      <c r="F239" s="103"/>
      <c r="G239" s="103"/>
      <c r="H239" s="103"/>
      <c r="I239" s="103"/>
      <c r="J239" s="100"/>
      <c r="K239" s="100"/>
      <c r="L239" s="101"/>
      <c r="M239" s="102"/>
      <c r="N239" s="103"/>
      <c r="O239" s="103"/>
      <c r="P239" s="103"/>
      <c r="Q239" s="103"/>
      <c r="R239" s="103"/>
      <c r="S239" s="103"/>
      <c r="T239" s="103"/>
      <c r="U239" s="104">
        <f t="shared" si="59"/>
        <v>0</v>
      </c>
      <c r="V239" s="100"/>
      <c r="W239" s="101"/>
    </row>
    <row r="240" spans="2:23" ht="18" customHeight="1" x14ac:dyDescent="0.4">
      <c r="B240" s="102"/>
      <c r="C240" s="103"/>
      <c r="D240" s="103"/>
      <c r="E240" s="103"/>
      <c r="F240" s="103"/>
      <c r="G240" s="103"/>
      <c r="H240" s="103"/>
      <c r="I240" s="103"/>
      <c r="J240" s="100"/>
      <c r="K240" s="100"/>
      <c r="L240" s="101"/>
      <c r="M240" s="102"/>
      <c r="N240" s="103"/>
      <c r="O240" s="103"/>
      <c r="P240" s="103"/>
      <c r="Q240" s="103"/>
      <c r="R240" s="103"/>
      <c r="S240" s="103"/>
      <c r="T240" s="103"/>
      <c r="U240" s="104">
        <f t="shared" si="59"/>
        <v>0</v>
      </c>
      <c r="V240" s="100"/>
      <c r="W240" s="101"/>
    </row>
    <row r="241" spans="2:23" ht="18" customHeight="1" x14ac:dyDescent="0.4">
      <c r="B241" s="102"/>
      <c r="C241" s="103"/>
      <c r="D241" s="103"/>
      <c r="E241" s="103"/>
      <c r="F241" s="103"/>
      <c r="G241" s="103"/>
      <c r="H241" s="103"/>
      <c r="I241" s="103"/>
      <c r="J241" s="100"/>
      <c r="K241" s="100"/>
      <c r="L241" s="101"/>
      <c r="M241" s="102"/>
      <c r="N241" s="103"/>
      <c r="O241" s="103"/>
      <c r="P241" s="103"/>
      <c r="Q241" s="103"/>
      <c r="R241" s="103"/>
      <c r="S241" s="103"/>
      <c r="T241" s="103"/>
      <c r="U241" s="104">
        <f t="shared" si="59"/>
        <v>0</v>
      </c>
      <c r="V241" s="100"/>
      <c r="W241" s="101"/>
    </row>
    <row r="242" spans="2:23" ht="18" customHeight="1" x14ac:dyDescent="0.4">
      <c r="B242" s="102"/>
      <c r="C242" s="103"/>
      <c r="D242" s="103"/>
      <c r="E242" s="103"/>
      <c r="F242" s="103"/>
      <c r="G242" s="103"/>
      <c r="H242" s="103"/>
      <c r="I242" s="103"/>
      <c r="J242" s="100"/>
      <c r="K242" s="100"/>
      <c r="L242" s="101"/>
      <c r="M242" s="102"/>
      <c r="N242" s="103"/>
      <c r="O242" s="103"/>
      <c r="P242" s="103"/>
      <c r="Q242" s="103"/>
      <c r="R242" s="103"/>
      <c r="S242" s="103"/>
      <c r="T242" s="103"/>
      <c r="U242" s="104">
        <f t="shared" si="59"/>
        <v>0</v>
      </c>
      <c r="V242" s="100"/>
      <c r="W242" s="101"/>
    </row>
    <row r="243" spans="2:23" ht="18" customHeight="1" x14ac:dyDescent="0.4">
      <c r="B243" s="102"/>
      <c r="C243" s="103"/>
      <c r="D243" s="103"/>
      <c r="E243" s="103"/>
      <c r="F243" s="103"/>
      <c r="G243" s="103"/>
      <c r="H243" s="103"/>
      <c r="I243" s="103"/>
      <c r="J243" s="100"/>
      <c r="K243" s="100"/>
      <c r="L243" s="101"/>
      <c r="M243" s="102"/>
      <c r="N243" s="103"/>
      <c r="O243" s="103"/>
      <c r="P243" s="103"/>
      <c r="Q243" s="103"/>
      <c r="R243" s="103"/>
      <c r="S243" s="103"/>
      <c r="T243" s="103"/>
      <c r="U243" s="104">
        <f t="shared" si="59"/>
        <v>0</v>
      </c>
      <c r="V243" s="100"/>
      <c r="W243" s="101"/>
    </row>
    <row r="244" spans="2:23" ht="18" customHeight="1" x14ac:dyDescent="0.4">
      <c r="B244" s="109"/>
      <c r="C244" s="110"/>
      <c r="D244" s="110"/>
      <c r="E244" s="110"/>
      <c r="F244" s="110"/>
      <c r="G244" s="110"/>
      <c r="H244" s="110"/>
      <c r="I244" s="110"/>
      <c r="J244" s="107"/>
      <c r="K244" s="107"/>
      <c r="L244" s="108"/>
      <c r="M244" s="109"/>
      <c r="N244" s="110"/>
      <c r="O244" s="110"/>
      <c r="P244" s="110"/>
      <c r="Q244" s="110"/>
      <c r="R244" s="110"/>
      <c r="S244" s="110"/>
      <c r="T244" s="110"/>
      <c r="U244" s="111">
        <f t="shared" si="59"/>
        <v>0</v>
      </c>
      <c r="V244" s="107"/>
      <c r="W244" s="108"/>
    </row>
    <row r="245" spans="2:23" ht="18" customHeight="1" x14ac:dyDescent="0.4">
      <c r="B245" s="86"/>
      <c r="C245" s="87"/>
      <c r="D245" s="87"/>
      <c r="E245" s="87"/>
      <c r="F245" s="87"/>
      <c r="G245" s="87"/>
      <c r="H245" s="87"/>
      <c r="I245" s="87"/>
      <c r="J245" s="88" t="s">
        <v>105</v>
      </c>
      <c r="K245" s="87"/>
      <c r="L245" s="89"/>
      <c r="M245" s="90">
        <f>B245</f>
        <v>0</v>
      </c>
      <c r="N245" s="87"/>
      <c r="O245" s="87"/>
      <c r="P245" s="87"/>
      <c r="Q245" s="87"/>
      <c r="R245" s="87"/>
      <c r="S245" s="87"/>
      <c r="T245" s="87"/>
      <c r="U245" s="88" t="s">
        <v>105</v>
      </c>
      <c r="V245" s="87"/>
      <c r="W245" s="89"/>
    </row>
    <row r="246" spans="2:23" ht="18" customHeight="1" x14ac:dyDescent="0.4">
      <c r="B246" s="95"/>
      <c r="C246" s="96"/>
      <c r="D246" s="96"/>
      <c r="E246" s="96"/>
      <c r="F246" s="96"/>
      <c r="G246" s="96"/>
      <c r="H246" s="96"/>
      <c r="I246" s="96"/>
      <c r="J246" s="93"/>
      <c r="K246" s="93"/>
      <c r="L246" s="94"/>
      <c r="M246" s="95"/>
      <c r="N246" s="96"/>
      <c r="O246" s="96"/>
      <c r="P246" s="96"/>
      <c r="Q246" s="96"/>
      <c r="R246" s="96"/>
      <c r="S246" s="96"/>
      <c r="T246" s="96"/>
      <c r="U246" s="97">
        <f t="shared" ref="U246:U255" si="60">J246</f>
        <v>0</v>
      </c>
      <c r="V246" s="93"/>
      <c r="W246" s="94"/>
    </row>
    <row r="247" spans="2:23" ht="18" customHeight="1" x14ac:dyDescent="0.4">
      <c r="B247" s="102"/>
      <c r="C247" s="103"/>
      <c r="D247" s="103"/>
      <c r="E247" s="103"/>
      <c r="F247" s="103"/>
      <c r="G247" s="103"/>
      <c r="H247" s="103"/>
      <c r="I247" s="103"/>
      <c r="J247" s="100"/>
      <c r="K247" s="100"/>
      <c r="L247" s="101"/>
      <c r="M247" s="102"/>
      <c r="N247" s="103"/>
      <c r="O247" s="103"/>
      <c r="P247" s="103"/>
      <c r="Q247" s="103"/>
      <c r="R247" s="103"/>
      <c r="S247" s="103"/>
      <c r="T247" s="103"/>
      <c r="U247" s="104">
        <f t="shared" si="60"/>
        <v>0</v>
      </c>
      <c r="V247" s="100"/>
      <c r="W247" s="101"/>
    </row>
    <row r="248" spans="2:23" ht="18" customHeight="1" x14ac:dyDescent="0.4">
      <c r="B248" s="102"/>
      <c r="C248" s="103"/>
      <c r="D248" s="103"/>
      <c r="E248" s="103"/>
      <c r="F248" s="103"/>
      <c r="G248" s="103"/>
      <c r="H248" s="103"/>
      <c r="I248" s="103"/>
      <c r="J248" s="100"/>
      <c r="K248" s="100"/>
      <c r="L248" s="101"/>
      <c r="M248" s="102"/>
      <c r="N248" s="103"/>
      <c r="O248" s="103"/>
      <c r="P248" s="103"/>
      <c r="Q248" s="103"/>
      <c r="R248" s="103"/>
      <c r="S248" s="103"/>
      <c r="T248" s="103"/>
      <c r="U248" s="104">
        <f t="shared" si="60"/>
        <v>0</v>
      </c>
      <c r="V248" s="100"/>
      <c r="W248" s="101"/>
    </row>
    <row r="249" spans="2:23" ht="18" customHeight="1" x14ac:dyDescent="0.4">
      <c r="B249" s="102"/>
      <c r="C249" s="103"/>
      <c r="D249" s="103"/>
      <c r="E249" s="103"/>
      <c r="F249" s="103"/>
      <c r="G249" s="103"/>
      <c r="H249" s="103"/>
      <c r="I249" s="103"/>
      <c r="J249" s="100"/>
      <c r="K249" s="100"/>
      <c r="L249" s="101"/>
      <c r="M249" s="102"/>
      <c r="N249" s="103"/>
      <c r="O249" s="103"/>
      <c r="P249" s="103"/>
      <c r="Q249" s="103"/>
      <c r="R249" s="103"/>
      <c r="S249" s="103"/>
      <c r="T249" s="103"/>
      <c r="U249" s="104">
        <f t="shared" si="60"/>
        <v>0</v>
      </c>
      <c r="V249" s="100"/>
      <c r="W249" s="101"/>
    </row>
    <row r="250" spans="2:23" ht="18" customHeight="1" x14ac:dyDescent="0.4">
      <c r="B250" s="102"/>
      <c r="C250" s="103"/>
      <c r="D250" s="103"/>
      <c r="E250" s="103"/>
      <c r="F250" s="103"/>
      <c r="G250" s="103"/>
      <c r="H250" s="103"/>
      <c r="I250" s="103"/>
      <c r="J250" s="100"/>
      <c r="K250" s="100"/>
      <c r="L250" s="101"/>
      <c r="M250" s="102"/>
      <c r="N250" s="103"/>
      <c r="O250" s="103"/>
      <c r="P250" s="103"/>
      <c r="Q250" s="103"/>
      <c r="R250" s="103"/>
      <c r="S250" s="103"/>
      <c r="T250" s="103"/>
      <c r="U250" s="104">
        <f t="shared" si="60"/>
        <v>0</v>
      </c>
      <c r="V250" s="100"/>
      <c r="W250" s="101"/>
    </row>
    <row r="251" spans="2:23" ht="18" customHeight="1" x14ac:dyDescent="0.4">
      <c r="B251" s="102"/>
      <c r="C251" s="103"/>
      <c r="D251" s="103"/>
      <c r="E251" s="103"/>
      <c r="F251" s="103"/>
      <c r="G251" s="103"/>
      <c r="H251" s="103"/>
      <c r="I251" s="103"/>
      <c r="J251" s="100"/>
      <c r="K251" s="100"/>
      <c r="L251" s="101"/>
      <c r="M251" s="102"/>
      <c r="N251" s="103"/>
      <c r="O251" s="103"/>
      <c r="P251" s="103"/>
      <c r="Q251" s="103"/>
      <c r="R251" s="103"/>
      <c r="S251" s="103"/>
      <c r="T251" s="103"/>
      <c r="U251" s="104">
        <f t="shared" si="60"/>
        <v>0</v>
      </c>
      <c r="V251" s="100"/>
      <c r="W251" s="101"/>
    </row>
    <row r="252" spans="2:23" ht="18" customHeight="1" x14ac:dyDescent="0.4">
      <c r="B252" s="102"/>
      <c r="C252" s="103"/>
      <c r="D252" s="103"/>
      <c r="E252" s="103"/>
      <c r="F252" s="103"/>
      <c r="G252" s="103"/>
      <c r="H252" s="103"/>
      <c r="I252" s="103"/>
      <c r="J252" s="100"/>
      <c r="K252" s="100"/>
      <c r="L252" s="101"/>
      <c r="M252" s="102"/>
      <c r="N252" s="103"/>
      <c r="O252" s="103"/>
      <c r="P252" s="103"/>
      <c r="Q252" s="103"/>
      <c r="R252" s="103"/>
      <c r="S252" s="103"/>
      <c r="T252" s="103"/>
      <c r="U252" s="104">
        <f t="shared" si="60"/>
        <v>0</v>
      </c>
      <c r="V252" s="100"/>
      <c r="W252" s="101"/>
    </row>
    <row r="253" spans="2:23" ht="18" customHeight="1" x14ac:dyDescent="0.4">
      <c r="B253" s="102"/>
      <c r="C253" s="103"/>
      <c r="D253" s="103"/>
      <c r="E253" s="103"/>
      <c r="F253" s="103"/>
      <c r="G253" s="103"/>
      <c r="H253" s="103"/>
      <c r="I253" s="103"/>
      <c r="J253" s="100"/>
      <c r="K253" s="100"/>
      <c r="L253" s="101"/>
      <c r="M253" s="102"/>
      <c r="N253" s="103"/>
      <c r="O253" s="103"/>
      <c r="P253" s="103"/>
      <c r="Q253" s="103"/>
      <c r="R253" s="103"/>
      <c r="S253" s="103"/>
      <c r="T253" s="103"/>
      <c r="U253" s="104">
        <f t="shared" si="60"/>
        <v>0</v>
      </c>
      <c r="V253" s="100"/>
      <c r="W253" s="101"/>
    </row>
    <row r="254" spans="2:23" ht="18" customHeight="1" x14ac:dyDescent="0.4">
      <c r="B254" s="102"/>
      <c r="C254" s="103"/>
      <c r="D254" s="103"/>
      <c r="E254" s="103"/>
      <c r="F254" s="103"/>
      <c r="G254" s="103"/>
      <c r="H254" s="103"/>
      <c r="I254" s="103"/>
      <c r="J254" s="100"/>
      <c r="K254" s="100"/>
      <c r="L254" s="101"/>
      <c r="M254" s="102"/>
      <c r="N254" s="103"/>
      <c r="O254" s="103"/>
      <c r="P254" s="103"/>
      <c r="Q254" s="103"/>
      <c r="R254" s="103"/>
      <c r="S254" s="103"/>
      <c r="T254" s="103"/>
      <c r="U254" s="104">
        <f t="shared" si="60"/>
        <v>0</v>
      </c>
      <c r="V254" s="100"/>
      <c r="W254" s="101"/>
    </row>
    <row r="255" spans="2:23" ht="18" customHeight="1" x14ac:dyDescent="0.4">
      <c r="B255" s="109"/>
      <c r="C255" s="110"/>
      <c r="D255" s="110"/>
      <c r="E255" s="110"/>
      <c r="F255" s="110"/>
      <c r="G255" s="110"/>
      <c r="H255" s="110"/>
      <c r="I255" s="110"/>
      <c r="J255" s="107"/>
      <c r="K255" s="107"/>
      <c r="L255" s="108"/>
      <c r="M255" s="109"/>
      <c r="N255" s="110"/>
      <c r="O255" s="110"/>
      <c r="P255" s="110"/>
      <c r="Q255" s="110"/>
      <c r="R255" s="110"/>
      <c r="S255" s="110"/>
      <c r="T255" s="110"/>
      <c r="U255" s="111">
        <f t="shared" si="60"/>
        <v>0</v>
      </c>
      <c r="V255" s="107"/>
      <c r="W255" s="108"/>
    </row>
  </sheetData>
  <mergeCells count="40">
    <mergeCell ref="B246:I255"/>
    <mergeCell ref="M246:T255"/>
    <mergeCell ref="B213:I222"/>
    <mergeCell ref="M213:T222"/>
    <mergeCell ref="B224:I233"/>
    <mergeCell ref="M224:T233"/>
    <mergeCell ref="B235:I244"/>
    <mergeCell ref="M235:T244"/>
    <mergeCell ref="B180:I189"/>
    <mergeCell ref="M180:T189"/>
    <mergeCell ref="B191:I200"/>
    <mergeCell ref="M191:T200"/>
    <mergeCell ref="B202:I211"/>
    <mergeCell ref="M202:T211"/>
    <mergeCell ref="M125:T134"/>
    <mergeCell ref="M136:T145"/>
    <mergeCell ref="M147:T156"/>
    <mergeCell ref="B158:I167"/>
    <mergeCell ref="M158:T167"/>
    <mergeCell ref="B169:I178"/>
    <mergeCell ref="M169:T178"/>
    <mergeCell ref="R11:R12"/>
    <mergeCell ref="S11:T11"/>
    <mergeCell ref="H12:I12"/>
    <mergeCell ref="S12:T12"/>
    <mergeCell ref="M103:T112"/>
    <mergeCell ref="M114:T123"/>
    <mergeCell ref="B11:B12"/>
    <mergeCell ref="C11:F12"/>
    <mergeCell ref="G11:G12"/>
    <mergeCell ref="H11:I11"/>
    <mergeCell ref="M11:M12"/>
    <mergeCell ref="N11:Q12"/>
    <mergeCell ref="M2:W2"/>
    <mergeCell ref="C3:F3"/>
    <mergeCell ref="N3:Q3"/>
    <mergeCell ref="C4:F4"/>
    <mergeCell ref="N4:Q4"/>
    <mergeCell ref="B8:B9"/>
    <mergeCell ref="M8:M9"/>
  </mergeCells>
  <phoneticPr fontId="1"/>
  <pageMargins left="0.19685039370078741" right="0.19685039370078741" top="0.59055118110236227" bottom="0.19685039370078741" header="0.31496062992125984" footer="0.31496062992125984"/>
  <pageSetup paperSize="9" scale="99" orientation="portrait" r:id="rId1"/>
  <colBreaks count="1" manualBreakCount="1">
    <brk id="12" min="1" max="8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DAAF-F8FB-4244-A4AE-160BEF7D08B6}">
  <sheetPr>
    <tabColor rgb="FFFFC000"/>
  </sheetPr>
  <dimension ref="B1:W256"/>
  <sheetViews>
    <sheetView showZeros="0" view="pageBreakPreview" zoomScale="80" zoomScaleNormal="100" zoomScaleSheetLayoutView="80" workbookViewId="0">
      <selection activeCell="M2" sqref="M2:W2"/>
    </sheetView>
  </sheetViews>
  <sheetFormatPr defaultRowHeight="18.75" outlineLevelCol="1" x14ac:dyDescent="0.4"/>
  <cols>
    <col min="1" max="1" width="2.875" customWidth="1"/>
    <col min="2" max="2" width="6.5" customWidth="1"/>
    <col min="3" max="3" width="8.625" customWidth="1"/>
    <col min="4" max="4" width="10" customWidth="1"/>
    <col min="5" max="7" width="8.25" customWidth="1"/>
    <col min="8" max="8" width="6.25" customWidth="1"/>
    <col min="9" max="9" width="5" customWidth="1"/>
    <col min="10" max="10" width="7.875" customWidth="1"/>
    <col min="11" max="11" width="9.75" customWidth="1"/>
    <col min="12" max="12" width="14.25" customWidth="1"/>
    <col min="13" max="13" width="6.5" customWidth="1" outlineLevel="1"/>
    <col min="14" max="14" width="8.625" customWidth="1" outlineLevel="1"/>
    <col min="15" max="15" width="10" customWidth="1" outlineLevel="1"/>
    <col min="16" max="18" width="8.25" customWidth="1" outlineLevel="1"/>
    <col min="19" max="19" width="6.25" customWidth="1" outlineLevel="1"/>
    <col min="20" max="20" width="5" customWidth="1" outlineLevel="1"/>
    <col min="21" max="21" width="7.875" customWidth="1" outlineLevel="1"/>
    <col min="22" max="22" width="9.75" customWidth="1" outlineLevel="1"/>
    <col min="23" max="23" width="13.5" customWidth="1" outlineLevel="1"/>
  </cols>
  <sheetData>
    <row r="1" spans="2:23" x14ac:dyDescent="0.4">
      <c r="F1" t="s">
        <v>0</v>
      </c>
      <c r="G1" s="1">
        <v>1</v>
      </c>
      <c r="I1" s="2" t="s">
        <v>1</v>
      </c>
      <c r="J1" s="1">
        <v>0.15</v>
      </c>
      <c r="K1" s="3">
        <v>1.5</v>
      </c>
      <c r="L1" s="4">
        <f>N11-C11</f>
        <v>1131900</v>
      </c>
      <c r="W1" s="5"/>
    </row>
    <row r="2" spans="2:23" ht="35.25" x14ac:dyDescent="0.4">
      <c r="B2" s="157" t="s">
        <v>146</v>
      </c>
      <c r="C2" s="157"/>
      <c r="D2" s="157"/>
      <c r="E2" s="158"/>
      <c r="F2" s="159" t="s">
        <v>139</v>
      </c>
      <c r="G2" s="159"/>
      <c r="H2" s="159"/>
      <c r="I2" s="159"/>
      <c r="J2" s="159"/>
      <c r="K2" s="159" t="s">
        <v>140</v>
      </c>
      <c r="L2" s="159"/>
      <c r="M2" s="6" t="s">
        <v>172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 spans="2:23" ht="23.25" customHeight="1" x14ac:dyDescent="0.4">
      <c r="B3" s="7" t="s">
        <v>138</v>
      </c>
      <c r="C3" s="8"/>
      <c r="D3" s="8"/>
      <c r="E3" s="8"/>
      <c r="F3" s="8"/>
      <c r="G3" s="9" t="s">
        <v>2</v>
      </c>
      <c r="J3" s="10"/>
      <c r="K3" s="11" t="s">
        <v>3</v>
      </c>
      <c r="L3" s="12"/>
      <c r="M3" s="7" t="s">
        <v>4</v>
      </c>
      <c r="N3" s="13"/>
      <c r="O3" s="13"/>
      <c r="P3" s="13"/>
      <c r="Q3" s="13"/>
      <c r="R3" s="9" t="s">
        <v>2</v>
      </c>
      <c r="U3" s="10"/>
      <c r="V3" s="11" t="str">
        <f>K3</f>
        <v>顧客番号</v>
      </c>
      <c r="W3" s="14">
        <f>L3</f>
        <v>0</v>
      </c>
    </row>
    <row r="4" spans="2:23" ht="21" customHeight="1" x14ac:dyDescent="0.4">
      <c r="B4" s="15" t="s">
        <v>5</v>
      </c>
      <c r="C4" s="16"/>
      <c r="D4" s="16"/>
      <c r="E4" s="16"/>
      <c r="F4" s="16"/>
      <c r="G4" s="17" t="s">
        <v>6</v>
      </c>
      <c r="J4" s="10"/>
      <c r="K4" s="18" t="s">
        <v>7</v>
      </c>
      <c r="L4" s="19"/>
      <c r="M4" s="15" t="s">
        <v>5</v>
      </c>
      <c r="N4" s="16"/>
      <c r="O4" s="16"/>
      <c r="P4" s="16"/>
      <c r="Q4" s="16"/>
      <c r="R4" s="17" t="s">
        <v>6</v>
      </c>
      <c r="U4" s="10"/>
      <c r="V4" s="11" t="s">
        <v>8</v>
      </c>
      <c r="W4" s="19">
        <f ca="1">TODAY()</f>
        <v>46255</v>
      </c>
    </row>
    <row r="5" spans="2:23" ht="21" customHeight="1" x14ac:dyDescent="0.4">
      <c r="B5" s="20" t="s">
        <v>9</v>
      </c>
      <c r="C5" s="21"/>
      <c r="D5" s="21"/>
      <c r="E5" s="21"/>
      <c r="F5" s="21"/>
      <c r="G5" s="21"/>
      <c r="H5" s="21"/>
      <c r="I5" s="21"/>
      <c r="J5" s="22"/>
      <c r="K5" s="23" t="s">
        <v>10</v>
      </c>
      <c r="L5" s="20"/>
      <c r="M5" s="20" t="s">
        <v>11</v>
      </c>
      <c r="N5" s="21"/>
      <c r="O5" s="21"/>
      <c r="P5" s="21"/>
      <c r="Q5" s="21"/>
      <c r="R5" s="21"/>
      <c r="S5" s="21"/>
      <c r="T5" s="21"/>
      <c r="U5" s="24"/>
      <c r="V5" s="25" t="str">
        <f>K5</f>
        <v>受注契約日</v>
      </c>
      <c r="W5" s="26">
        <f ca="1">W4</f>
        <v>46255</v>
      </c>
    </row>
    <row r="6" spans="2:23" ht="21" customHeight="1" x14ac:dyDescent="0.4">
      <c r="B6" s="27" t="s">
        <v>141</v>
      </c>
      <c r="C6" s="28" t="s">
        <v>141</v>
      </c>
      <c r="D6" s="29"/>
      <c r="E6" s="29"/>
      <c r="F6" s="28" t="s">
        <v>6</v>
      </c>
      <c r="G6" s="31" t="s">
        <v>142</v>
      </c>
      <c r="H6" s="31"/>
      <c r="I6" s="31"/>
      <c r="J6" s="32"/>
      <c r="K6" s="30" t="s">
        <v>143</v>
      </c>
      <c r="L6" s="30"/>
      <c r="M6" s="33" t="s">
        <v>12</v>
      </c>
      <c r="N6" s="28" t="str">
        <f>C6</f>
        <v>氏名</v>
      </c>
      <c r="O6" s="29"/>
      <c r="P6" s="29"/>
      <c r="Q6" s="29"/>
      <c r="R6" s="29"/>
      <c r="S6" s="31"/>
      <c r="T6" s="31">
        <f>I6</f>
        <v>0</v>
      </c>
      <c r="U6" s="32">
        <f>J6</f>
        <v>0</v>
      </c>
      <c r="V6" s="30"/>
      <c r="W6" s="30"/>
    </row>
    <row r="7" spans="2:23" ht="21" customHeight="1" x14ac:dyDescent="0.4">
      <c r="B7" s="34" t="s">
        <v>13</v>
      </c>
      <c r="C7" s="35" t="s">
        <v>14</v>
      </c>
      <c r="D7" s="36"/>
      <c r="E7" s="36"/>
      <c r="F7" s="36"/>
      <c r="G7" s="36"/>
      <c r="J7" s="37" t="s">
        <v>15</v>
      </c>
      <c r="M7" s="38" t="s">
        <v>16</v>
      </c>
      <c r="N7" s="35" t="s">
        <v>17</v>
      </c>
      <c r="O7" s="36"/>
      <c r="P7" s="36"/>
      <c r="Q7" s="36"/>
      <c r="R7" s="36"/>
      <c r="U7" s="37" t="s">
        <v>18</v>
      </c>
    </row>
    <row r="8" spans="2:23" ht="21" customHeight="1" x14ac:dyDescent="0.4">
      <c r="B8" s="39" t="s">
        <v>19</v>
      </c>
      <c r="C8" s="40" t="s">
        <v>20</v>
      </c>
      <c r="D8" s="40" t="s">
        <v>21</v>
      </c>
      <c r="E8" s="40"/>
      <c r="F8" s="40"/>
      <c r="G8" s="40"/>
      <c r="M8" s="41" t="s">
        <v>19</v>
      </c>
      <c r="N8" s="40" t="s">
        <v>20</v>
      </c>
      <c r="O8" s="40"/>
      <c r="P8" s="40"/>
      <c r="Q8" s="40"/>
      <c r="R8" s="40"/>
    </row>
    <row r="9" spans="2:23" ht="21" customHeight="1" x14ac:dyDescent="0.4">
      <c r="B9" s="42"/>
      <c r="C9" s="40" t="s">
        <v>22</v>
      </c>
      <c r="D9" s="40" t="s">
        <v>23</v>
      </c>
      <c r="E9" s="40"/>
      <c r="F9" s="40"/>
      <c r="G9" s="40"/>
      <c r="M9" s="43"/>
      <c r="N9" s="40" t="s">
        <v>22</v>
      </c>
      <c r="O9" s="40"/>
      <c r="P9" s="40"/>
      <c r="Q9" s="40"/>
      <c r="R9" s="40"/>
    </row>
    <row r="10" spans="2:23" ht="6.75" customHeight="1" x14ac:dyDescent="0.4">
      <c r="B10" s="44"/>
      <c r="M10" s="44"/>
    </row>
    <row r="11" spans="2:23" ht="21" customHeight="1" x14ac:dyDescent="0.4">
      <c r="B11" s="45" t="s">
        <v>24</v>
      </c>
      <c r="C11" s="46">
        <f>K80</f>
        <v>2424400</v>
      </c>
      <c r="D11" s="47"/>
      <c r="E11" s="47"/>
      <c r="F11" s="47"/>
      <c r="G11" s="48" t="s">
        <v>25</v>
      </c>
      <c r="H11" s="49"/>
      <c r="I11" s="50"/>
      <c r="M11" s="51" t="s">
        <v>24</v>
      </c>
      <c r="N11" s="46">
        <f>V80</f>
        <v>3556300</v>
      </c>
      <c r="O11" s="47"/>
      <c r="P11" s="47"/>
      <c r="Q11" s="47"/>
      <c r="R11" s="48" t="s">
        <v>25</v>
      </c>
      <c r="S11" s="49">
        <f>H11</f>
        <v>0</v>
      </c>
      <c r="T11" s="50"/>
      <c r="U11" s="52"/>
      <c r="V11" s="53"/>
      <c r="W11" s="53"/>
    </row>
    <row r="12" spans="2:23" ht="21" customHeight="1" x14ac:dyDescent="0.4">
      <c r="B12" s="54"/>
      <c r="C12" s="55"/>
      <c r="D12" s="55"/>
      <c r="E12" s="55"/>
      <c r="F12" s="55"/>
      <c r="G12" s="56"/>
      <c r="H12" s="49"/>
      <c r="I12" s="50"/>
      <c r="M12" s="57"/>
      <c r="N12" s="55"/>
      <c r="O12" s="55"/>
      <c r="P12" s="55"/>
      <c r="Q12" s="55"/>
      <c r="R12" s="56"/>
      <c r="S12" s="49">
        <f>H12</f>
        <v>0</v>
      </c>
      <c r="T12" s="50"/>
      <c r="U12" s="53"/>
      <c r="V12" s="53"/>
      <c r="W12" s="53"/>
    </row>
    <row r="13" spans="2:23" ht="5.25" customHeight="1" x14ac:dyDescent="0.4"/>
    <row r="14" spans="2:23" x14ac:dyDescent="0.4">
      <c r="B14" s="58" t="s">
        <v>26</v>
      </c>
      <c r="C14" s="58" t="s">
        <v>27</v>
      </c>
      <c r="D14" s="58"/>
      <c r="E14" s="58"/>
      <c r="F14" s="58"/>
      <c r="G14" s="58"/>
      <c r="H14" s="58" t="s">
        <v>28</v>
      </c>
      <c r="I14" s="58" t="s">
        <v>29</v>
      </c>
      <c r="J14" s="58" t="s">
        <v>30</v>
      </c>
      <c r="K14" s="58" t="s">
        <v>31</v>
      </c>
      <c r="L14" s="58" t="s">
        <v>32</v>
      </c>
      <c r="M14" s="59" t="s">
        <v>26</v>
      </c>
      <c r="N14" s="59" t="s">
        <v>27</v>
      </c>
      <c r="O14" s="59"/>
      <c r="P14" s="59"/>
      <c r="Q14" s="59"/>
      <c r="R14" s="59"/>
      <c r="S14" s="59" t="s">
        <v>28</v>
      </c>
      <c r="T14" s="59" t="s">
        <v>29</v>
      </c>
      <c r="U14" s="59" t="s">
        <v>30</v>
      </c>
      <c r="V14" s="59" t="s">
        <v>31</v>
      </c>
      <c r="W14" s="59" t="s">
        <v>32</v>
      </c>
    </row>
    <row r="15" spans="2:23" x14ac:dyDescent="0.4">
      <c r="B15" s="60" t="s">
        <v>106</v>
      </c>
      <c r="C15" s="60" t="s">
        <v>33</v>
      </c>
      <c r="D15" s="62"/>
      <c r="E15" s="62" t="s">
        <v>34</v>
      </c>
      <c r="F15" s="62"/>
      <c r="G15" s="61"/>
      <c r="H15" s="63">
        <v>6</v>
      </c>
      <c r="I15" s="64" t="s">
        <v>35</v>
      </c>
      <c r="J15" s="65">
        <f>ROUNDDOWN($G$1*1619/3*2.5,0)</f>
        <v>1349</v>
      </c>
      <c r="K15" s="66">
        <f t="shared" ref="K15:K73" si="0">ROUNDDOWN(H15*J15,0)</f>
        <v>8094</v>
      </c>
      <c r="L15" s="61"/>
      <c r="M15" s="67" t="str">
        <f t="shared" ref="M15:N76" si="1">B15</f>
        <v>本体</v>
      </c>
      <c r="N15" s="67" t="str">
        <f>C15</f>
        <v>１．金物関係費用</v>
      </c>
      <c r="O15" s="67"/>
      <c r="P15" s="67" t="str">
        <f t="shared" ref="P15:P73" si="2">E15</f>
        <v>・単管パイプ2.5m</v>
      </c>
      <c r="Q15" s="67"/>
      <c r="R15" s="67"/>
      <c r="S15" s="63">
        <f t="shared" ref="S15:T75" si="3">H15</f>
        <v>6</v>
      </c>
      <c r="T15" s="67" t="str">
        <f t="shared" si="3"/>
        <v>本</v>
      </c>
      <c r="U15" s="65">
        <f t="shared" ref="U15:U74" si="4">ROUNDDOWN(J15*$K$1,0)</f>
        <v>2023</v>
      </c>
      <c r="V15" s="66">
        <f t="shared" ref="V15:V73" si="5">ROUNDDOWN(S15*U15,0)</f>
        <v>12138</v>
      </c>
      <c r="W15" s="67">
        <f t="shared" ref="W15:W76" si="6">L15</f>
        <v>0</v>
      </c>
    </row>
    <row r="16" spans="2:23" x14ac:dyDescent="0.4">
      <c r="B16" s="60"/>
      <c r="C16" s="61"/>
      <c r="D16" s="62"/>
      <c r="E16" s="62" t="s">
        <v>36</v>
      </c>
      <c r="F16" s="62"/>
      <c r="G16" s="61"/>
      <c r="H16" s="63">
        <f>ROUNDUP($H$15,2)</f>
        <v>6</v>
      </c>
      <c r="I16" s="64" t="s">
        <v>37</v>
      </c>
      <c r="J16" s="65">
        <f>ROUNDDOWN($G$1*188,0)</f>
        <v>188</v>
      </c>
      <c r="K16" s="66">
        <f t="shared" si="0"/>
        <v>1128</v>
      </c>
      <c r="L16" s="61"/>
      <c r="M16" s="67">
        <f t="shared" si="1"/>
        <v>0</v>
      </c>
      <c r="N16" s="67">
        <f t="shared" si="1"/>
        <v>0</v>
      </c>
      <c r="O16" s="67"/>
      <c r="P16" s="67" t="str">
        <f t="shared" si="2"/>
        <v>・タルキ止めクランプ</v>
      </c>
      <c r="Q16" s="67"/>
      <c r="R16" s="67"/>
      <c r="S16" s="63">
        <f t="shared" si="3"/>
        <v>6</v>
      </c>
      <c r="T16" s="67" t="str">
        <f t="shared" si="3"/>
        <v>個</v>
      </c>
      <c r="U16" s="65">
        <f t="shared" si="4"/>
        <v>282</v>
      </c>
      <c r="V16" s="66">
        <f t="shared" si="5"/>
        <v>1692</v>
      </c>
      <c r="W16" s="67">
        <f t="shared" si="6"/>
        <v>0</v>
      </c>
    </row>
    <row r="17" spans="2:23" x14ac:dyDescent="0.4">
      <c r="B17" s="60"/>
      <c r="C17" s="61"/>
      <c r="D17" s="62"/>
      <c r="E17" s="62" t="s">
        <v>38</v>
      </c>
      <c r="F17" s="62"/>
      <c r="G17" s="61"/>
      <c r="H17" s="63">
        <f>ROUNDUP($H$15,2)</f>
        <v>6</v>
      </c>
      <c r="I17" s="64" t="s">
        <v>35</v>
      </c>
      <c r="J17" s="65">
        <f>ROUNDDOWN($G$1*1850,0)</f>
        <v>1850</v>
      </c>
      <c r="K17" s="66">
        <f t="shared" si="0"/>
        <v>11100</v>
      </c>
      <c r="L17" s="61"/>
      <c r="M17" s="67">
        <f t="shared" si="1"/>
        <v>0</v>
      </c>
      <c r="N17" s="67">
        <f>C17</f>
        <v>0</v>
      </c>
      <c r="O17" s="67"/>
      <c r="P17" s="67" t="str">
        <f t="shared" si="2"/>
        <v>・ジャッキベース</v>
      </c>
      <c r="Q17" s="67"/>
      <c r="R17" s="67"/>
      <c r="S17" s="63">
        <f t="shared" si="3"/>
        <v>6</v>
      </c>
      <c r="T17" s="67" t="str">
        <f t="shared" si="3"/>
        <v>本</v>
      </c>
      <c r="U17" s="65">
        <f t="shared" si="4"/>
        <v>2775</v>
      </c>
      <c r="V17" s="66">
        <f t="shared" si="5"/>
        <v>16650</v>
      </c>
      <c r="W17" s="67">
        <f t="shared" si="6"/>
        <v>0</v>
      </c>
    </row>
    <row r="18" spans="2:23" x14ac:dyDescent="0.4">
      <c r="B18" s="60"/>
      <c r="C18" s="61"/>
      <c r="D18" s="62"/>
      <c r="E18" s="62" t="s">
        <v>39</v>
      </c>
      <c r="F18" s="62"/>
      <c r="G18" s="61"/>
      <c r="H18" s="63">
        <f>ROUNDUP($H$15,2)</f>
        <v>6</v>
      </c>
      <c r="I18" s="64" t="s">
        <v>40</v>
      </c>
      <c r="J18" s="65">
        <f>ROUNDDOWN($G$1*950,0)</f>
        <v>950</v>
      </c>
      <c r="K18" s="66">
        <f t="shared" si="0"/>
        <v>5700</v>
      </c>
      <c r="L18" s="61"/>
      <c r="M18" s="67">
        <f t="shared" si="1"/>
        <v>0</v>
      </c>
      <c r="N18" s="67">
        <f t="shared" si="1"/>
        <v>0</v>
      </c>
      <c r="O18" s="67"/>
      <c r="P18" s="67" t="str">
        <f t="shared" si="2"/>
        <v>・ジャッキベース用カバー</v>
      </c>
      <c r="Q18" s="67"/>
      <c r="R18" s="67"/>
      <c r="S18" s="63">
        <f t="shared" si="3"/>
        <v>6</v>
      </c>
      <c r="T18" s="67" t="str">
        <f t="shared" si="3"/>
        <v>枚</v>
      </c>
      <c r="U18" s="65">
        <f t="shared" si="4"/>
        <v>1425</v>
      </c>
      <c r="V18" s="66">
        <f t="shared" si="5"/>
        <v>8550</v>
      </c>
      <c r="W18" s="67">
        <f t="shared" si="6"/>
        <v>0</v>
      </c>
    </row>
    <row r="19" spans="2:23" x14ac:dyDescent="0.4">
      <c r="B19" s="60"/>
      <c r="C19" s="61"/>
      <c r="D19" s="62"/>
      <c r="E19" s="62" t="s">
        <v>41</v>
      </c>
      <c r="F19" s="62"/>
      <c r="G19" s="61"/>
      <c r="H19" s="63">
        <v>0</v>
      </c>
      <c r="I19" s="64" t="s">
        <v>40</v>
      </c>
      <c r="J19" s="65">
        <f>ROUNDDOWN($G$1*2180,0)</f>
        <v>2180</v>
      </c>
      <c r="K19" s="66">
        <f t="shared" si="0"/>
        <v>0</v>
      </c>
      <c r="L19" s="61"/>
      <c r="M19" s="67">
        <f t="shared" si="1"/>
        <v>0</v>
      </c>
      <c r="N19" s="67">
        <f t="shared" si="1"/>
        <v>0</v>
      </c>
      <c r="O19" s="67"/>
      <c r="P19" s="67" t="str">
        <f t="shared" si="2"/>
        <v>・大型丁番＋ステンレス長ビス</v>
      </c>
      <c r="Q19" s="67"/>
      <c r="R19" s="67"/>
      <c r="S19" s="63">
        <f t="shared" si="3"/>
        <v>0</v>
      </c>
      <c r="T19" s="67" t="str">
        <f t="shared" si="3"/>
        <v>枚</v>
      </c>
      <c r="U19" s="65">
        <f t="shared" si="4"/>
        <v>3270</v>
      </c>
      <c r="V19" s="66">
        <f t="shared" si="5"/>
        <v>0</v>
      </c>
      <c r="W19" s="67">
        <f t="shared" si="6"/>
        <v>0</v>
      </c>
    </row>
    <row r="20" spans="2:23" x14ac:dyDescent="0.4">
      <c r="B20" s="60"/>
      <c r="C20" s="61"/>
      <c r="D20" s="62"/>
      <c r="E20" s="62" t="s">
        <v>42</v>
      </c>
      <c r="F20" s="62"/>
      <c r="G20" s="61"/>
      <c r="H20" s="63">
        <v>0</v>
      </c>
      <c r="I20" s="64" t="s">
        <v>40</v>
      </c>
      <c r="J20" s="65">
        <f>ROUNDDOWN($G$1*510,0)</f>
        <v>510</v>
      </c>
      <c r="K20" s="66">
        <f t="shared" si="0"/>
        <v>0</v>
      </c>
      <c r="L20" s="68"/>
      <c r="M20" s="67">
        <f t="shared" si="1"/>
        <v>0</v>
      </c>
      <c r="N20" s="67">
        <f t="shared" si="1"/>
        <v>0</v>
      </c>
      <c r="O20" s="67"/>
      <c r="P20" s="67" t="str">
        <f t="shared" si="2"/>
        <v>・床用補強金物</v>
      </c>
      <c r="Q20" s="67"/>
      <c r="R20" s="67"/>
      <c r="S20" s="63">
        <f t="shared" si="3"/>
        <v>0</v>
      </c>
      <c r="T20" s="67" t="str">
        <f t="shared" si="3"/>
        <v>枚</v>
      </c>
      <c r="U20" s="65">
        <f t="shared" si="4"/>
        <v>765</v>
      </c>
      <c r="V20" s="66">
        <f t="shared" si="5"/>
        <v>0</v>
      </c>
      <c r="W20" s="67">
        <f t="shared" si="6"/>
        <v>0</v>
      </c>
    </row>
    <row r="21" spans="2:23" x14ac:dyDescent="0.4">
      <c r="B21" s="60"/>
      <c r="C21" s="61"/>
      <c r="D21" s="62"/>
      <c r="E21" s="62" t="s">
        <v>43</v>
      </c>
      <c r="F21" s="62"/>
      <c r="G21" s="61"/>
      <c r="H21" s="63">
        <f>ROUNDUP(4,2)</f>
        <v>4</v>
      </c>
      <c r="I21" s="64" t="s">
        <v>40</v>
      </c>
      <c r="J21" s="65">
        <f>ROUNDDOWN($G$1*510,0)</f>
        <v>510</v>
      </c>
      <c r="K21" s="66">
        <f t="shared" si="0"/>
        <v>2040</v>
      </c>
      <c r="L21" s="68">
        <f>SUM(K15:K21)</f>
        <v>28062</v>
      </c>
      <c r="M21" s="67">
        <f t="shared" si="1"/>
        <v>0</v>
      </c>
      <c r="N21" s="67">
        <f t="shared" si="1"/>
        <v>0</v>
      </c>
      <c r="O21" s="67"/>
      <c r="P21" s="67" t="str">
        <f t="shared" si="2"/>
        <v>・その他の金物</v>
      </c>
      <c r="Q21" s="67"/>
      <c r="R21" s="67"/>
      <c r="S21" s="63">
        <f t="shared" si="3"/>
        <v>4</v>
      </c>
      <c r="T21" s="67" t="str">
        <f t="shared" si="3"/>
        <v>枚</v>
      </c>
      <c r="U21" s="65">
        <f t="shared" si="4"/>
        <v>765</v>
      </c>
      <c r="V21" s="66">
        <f t="shared" si="5"/>
        <v>3060</v>
      </c>
      <c r="W21" s="67">
        <f t="shared" si="6"/>
        <v>28062</v>
      </c>
    </row>
    <row r="22" spans="2:23" s="122" customFormat="1" x14ac:dyDescent="0.4">
      <c r="B22" s="112" t="s">
        <v>106</v>
      </c>
      <c r="C22" s="112" t="s">
        <v>107</v>
      </c>
      <c r="D22" s="113"/>
      <c r="E22" s="113" t="s">
        <v>44</v>
      </c>
      <c r="F22" s="113"/>
      <c r="G22" s="114"/>
      <c r="H22" s="115">
        <f>ROUNDUP(23*2,2)</f>
        <v>46</v>
      </c>
      <c r="I22" s="116" t="s">
        <v>35</v>
      </c>
      <c r="J22" s="117">
        <f>ROUNDDOWN($G$1*635,0)</f>
        <v>635</v>
      </c>
      <c r="K22" s="118">
        <f t="shared" si="0"/>
        <v>29210</v>
      </c>
      <c r="L22" s="114" t="s">
        <v>45</v>
      </c>
      <c r="M22" s="119" t="str">
        <f t="shared" si="1"/>
        <v>本体</v>
      </c>
      <c r="N22" s="67" t="str">
        <f t="shared" si="1"/>
        <v>２．プレカット</v>
      </c>
      <c r="O22" s="119"/>
      <c r="P22" s="119" t="str">
        <f t="shared" si="2"/>
        <v>・204材L=6f</v>
      </c>
      <c r="Q22" s="119"/>
      <c r="R22" s="119"/>
      <c r="S22" s="115">
        <f t="shared" si="3"/>
        <v>46</v>
      </c>
      <c r="T22" s="119" t="str">
        <f t="shared" si="3"/>
        <v>本</v>
      </c>
      <c r="U22" s="117">
        <f t="shared" si="4"/>
        <v>952</v>
      </c>
      <c r="V22" s="118">
        <f t="shared" si="5"/>
        <v>43792</v>
      </c>
      <c r="W22" s="119" t="str">
        <f t="shared" si="6"/>
        <v>床天井根太</v>
      </c>
    </row>
    <row r="23" spans="2:23" s="122" customFormat="1" x14ac:dyDescent="0.4">
      <c r="B23" s="112"/>
      <c r="C23" s="114" t="s">
        <v>108</v>
      </c>
      <c r="D23" s="113"/>
      <c r="E23" s="113" t="s">
        <v>46</v>
      </c>
      <c r="F23" s="113"/>
      <c r="G23" s="114"/>
      <c r="H23" s="115">
        <f>ROUNDUP(50,2)</f>
        <v>50</v>
      </c>
      <c r="I23" s="116" t="s">
        <v>35</v>
      </c>
      <c r="J23" s="117">
        <f>ROUNDDOWN($G$1*635/6*8,0)</f>
        <v>846</v>
      </c>
      <c r="K23" s="118">
        <f t="shared" si="0"/>
        <v>42300</v>
      </c>
      <c r="L23" s="114" t="s">
        <v>47</v>
      </c>
      <c r="M23" s="119">
        <f t="shared" si="1"/>
        <v>0</v>
      </c>
      <c r="N23" s="67" t="str">
        <f t="shared" si="1"/>
        <v>　（木材費）</v>
      </c>
      <c r="O23" s="119"/>
      <c r="P23" s="119" t="str">
        <f t="shared" si="2"/>
        <v>・204材L=8f</v>
      </c>
      <c r="Q23" s="119"/>
      <c r="R23" s="119"/>
      <c r="S23" s="115">
        <f t="shared" si="3"/>
        <v>50</v>
      </c>
      <c r="T23" s="119" t="str">
        <f t="shared" si="3"/>
        <v>本</v>
      </c>
      <c r="U23" s="117">
        <f t="shared" si="4"/>
        <v>1269</v>
      </c>
      <c r="V23" s="118">
        <f t="shared" si="5"/>
        <v>63450</v>
      </c>
      <c r="W23" s="119" t="str">
        <f t="shared" si="6"/>
        <v>壁用</v>
      </c>
    </row>
    <row r="24" spans="2:23" s="122" customFormat="1" x14ac:dyDescent="0.4">
      <c r="B24" s="112"/>
      <c r="C24" s="114"/>
      <c r="D24" s="113"/>
      <c r="E24" s="113" t="s">
        <v>48</v>
      </c>
      <c r="F24" s="113"/>
      <c r="G24" s="114"/>
      <c r="H24" s="115">
        <f>ROUNDUP(0,2)</f>
        <v>0</v>
      </c>
      <c r="I24" s="116" t="s">
        <v>35</v>
      </c>
      <c r="J24" s="117">
        <f>ROUNDDOWN($G$1*635/6*12,0)</f>
        <v>1270</v>
      </c>
      <c r="K24" s="118">
        <f t="shared" si="0"/>
        <v>0</v>
      </c>
      <c r="L24" s="114" t="s">
        <v>49</v>
      </c>
      <c r="M24" s="119">
        <f t="shared" si="1"/>
        <v>0</v>
      </c>
      <c r="N24" s="67">
        <f t="shared" si="1"/>
        <v>0</v>
      </c>
      <c r="O24" s="119"/>
      <c r="P24" s="119" t="str">
        <f t="shared" si="2"/>
        <v>・204材L=12f</v>
      </c>
      <c r="Q24" s="119"/>
      <c r="R24" s="119"/>
      <c r="S24" s="115">
        <f t="shared" si="3"/>
        <v>0</v>
      </c>
      <c r="T24" s="119" t="str">
        <f t="shared" si="3"/>
        <v>本</v>
      </c>
      <c r="U24" s="117">
        <f t="shared" si="4"/>
        <v>1905</v>
      </c>
      <c r="V24" s="118">
        <f t="shared" si="5"/>
        <v>0</v>
      </c>
      <c r="W24" s="119" t="str">
        <f t="shared" si="6"/>
        <v>上下枠根太破風</v>
      </c>
    </row>
    <row r="25" spans="2:23" s="122" customFormat="1" x14ac:dyDescent="0.4">
      <c r="B25" s="112"/>
      <c r="C25" s="114"/>
      <c r="D25" s="113"/>
      <c r="E25" s="113" t="s">
        <v>50</v>
      </c>
      <c r="F25" s="113"/>
      <c r="G25" s="114"/>
      <c r="H25" s="115">
        <f>ROUNDUP(12,2)</f>
        <v>12</v>
      </c>
      <c r="I25" s="116" t="s">
        <v>35</v>
      </c>
      <c r="J25" s="117">
        <f>ROUNDDOWN($G$1*635/6*16,0)</f>
        <v>1693</v>
      </c>
      <c r="K25" s="118">
        <f t="shared" si="0"/>
        <v>20316</v>
      </c>
      <c r="L25" s="114" t="s">
        <v>51</v>
      </c>
      <c r="M25" s="119">
        <f t="shared" si="1"/>
        <v>0</v>
      </c>
      <c r="N25" s="67">
        <f t="shared" si="1"/>
        <v>0</v>
      </c>
      <c r="O25" s="119"/>
      <c r="P25" s="119" t="str">
        <f t="shared" si="2"/>
        <v>・204材L=16f</v>
      </c>
      <c r="Q25" s="119"/>
      <c r="R25" s="119"/>
      <c r="S25" s="115">
        <f t="shared" si="3"/>
        <v>12</v>
      </c>
      <c r="T25" s="119" t="str">
        <f t="shared" si="3"/>
        <v>本</v>
      </c>
      <c r="U25" s="117">
        <f t="shared" si="4"/>
        <v>2539</v>
      </c>
      <c r="V25" s="118">
        <f t="shared" si="5"/>
        <v>30468</v>
      </c>
      <c r="W25" s="119" t="str">
        <f t="shared" si="6"/>
        <v>同上</v>
      </c>
    </row>
    <row r="26" spans="2:23" s="122" customFormat="1" x14ac:dyDescent="0.4">
      <c r="B26" s="112"/>
      <c r="C26" s="114"/>
      <c r="D26" s="113"/>
      <c r="E26" s="113" t="s">
        <v>48</v>
      </c>
      <c r="F26" s="113"/>
      <c r="G26" s="114"/>
      <c r="H26" s="115">
        <f>ROUNDUP(4,2)</f>
        <v>4</v>
      </c>
      <c r="I26" s="116" t="s">
        <v>35</v>
      </c>
      <c r="J26" s="117">
        <f>ROUNDDOWN($G$1*635/6*12,0)</f>
        <v>1270</v>
      </c>
      <c r="K26" s="118">
        <f t="shared" si="0"/>
        <v>5080</v>
      </c>
      <c r="L26" s="114" t="s">
        <v>52</v>
      </c>
      <c r="M26" s="119">
        <f t="shared" si="1"/>
        <v>0</v>
      </c>
      <c r="N26" s="67">
        <f t="shared" si="1"/>
        <v>0</v>
      </c>
      <c r="O26" s="119"/>
      <c r="P26" s="119" t="str">
        <f t="shared" si="2"/>
        <v>・204材L=12f</v>
      </c>
      <c r="Q26" s="119"/>
      <c r="R26" s="119"/>
      <c r="S26" s="115">
        <f t="shared" si="3"/>
        <v>4</v>
      </c>
      <c r="T26" s="119" t="str">
        <f t="shared" si="3"/>
        <v>本</v>
      </c>
      <c r="U26" s="117">
        <f t="shared" si="4"/>
        <v>1905</v>
      </c>
      <c r="V26" s="118">
        <f t="shared" si="5"/>
        <v>7620</v>
      </c>
      <c r="W26" s="119" t="str">
        <f t="shared" si="6"/>
        <v>屋根タルキ</v>
      </c>
    </row>
    <row r="27" spans="2:23" s="122" customFormat="1" x14ac:dyDescent="0.4">
      <c r="B27" s="112"/>
      <c r="C27" s="114"/>
      <c r="D27" s="113"/>
      <c r="E27" s="113" t="s">
        <v>53</v>
      </c>
      <c r="F27" s="113"/>
      <c r="G27" s="114"/>
      <c r="H27" s="115">
        <f>ROUNDUP(0,2)</f>
        <v>0</v>
      </c>
      <c r="I27" s="116" t="s">
        <v>35</v>
      </c>
      <c r="J27" s="117">
        <f>ROUNDDOWN($G$1*362,0)</f>
        <v>362</v>
      </c>
      <c r="K27" s="118">
        <f>ROUNDDOWN(H27*J27,0)</f>
        <v>0</v>
      </c>
      <c r="L27" s="121"/>
      <c r="M27" s="119">
        <f>B27</f>
        <v>0</v>
      </c>
      <c r="N27" s="67">
        <f t="shared" si="1"/>
        <v>0</v>
      </c>
      <c r="O27" s="119"/>
      <c r="P27" s="119" t="str">
        <f>E27</f>
        <v>・104材柱パイプ囲み用</v>
      </c>
      <c r="Q27" s="119"/>
      <c r="R27" s="119"/>
      <c r="S27" s="115">
        <f t="shared" si="3"/>
        <v>0</v>
      </c>
      <c r="T27" s="119" t="str">
        <f t="shared" si="3"/>
        <v>本</v>
      </c>
      <c r="U27" s="117">
        <f>ROUNDDOWN(J27*$K$1,0)</f>
        <v>543</v>
      </c>
      <c r="V27" s="118">
        <f>ROUNDDOWN(S27*U27,0)</f>
        <v>0</v>
      </c>
      <c r="W27" s="119">
        <f>L27</f>
        <v>0</v>
      </c>
    </row>
    <row r="28" spans="2:23" s="122" customFormat="1" x14ac:dyDescent="0.4">
      <c r="B28" s="112"/>
      <c r="C28" s="114"/>
      <c r="D28" s="113"/>
      <c r="E28" s="113" t="s">
        <v>111</v>
      </c>
      <c r="F28" s="113"/>
      <c r="G28" s="114"/>
      <c r="H28" s="115">
        <v>5</v>
      </c>
      <c r="I28" s="116" t="s">
        <v>94</v>
      </c>
      <c r="J28" s="117">
        <v>25000</v>
      </c>
      <c r="K28" s="118">
        <f>ROUNDDOWN(H28*J28,0)</f>
        <v>125000</v>
      </c>
      <c r="L28" s="160">
        <f>SUM(K22:K28)</f>
        <v>221906</v>
      </c>
      <c r="M28" s="119">
        <f>B28</f>
        <v>0</v>
      </c>
      <c r="N28" s="67">
        <f t="shared" si="1"/>
        <v>0</v>
      </c>
      <c r="O28" s="119"/>
      <c r="P28" s="119" t="str">
        <f>E28</f>
        <v>・本体組立費</v>
      </c>
      <c r="Q28" s="119"/>
      <c r="R28" s="119"/>
      <c r="S28" s="115">
        <f t="shared" si="3"/>
        <v>5</v>
      </c>
      <c r="T28" s="119" t="str">
        <f t="shared" si="3"/>
        <v>人</v>
      </c>
      <c r="U28" s="117">
        <f>ROUNDDOWN(J28*$K$1,0)</f>
        <v>37500</v>
      </c>
      <c r="V28" s="118">
        <f>ROUNDDOWN(S28*U28,0)</f>
        <v>187500</v>
      </c>
      <c r="W28" s="160">
        <f>SUM(V22:V28)</f>
        <v>332830</v>
      </c>
    </row>
    <row r="29" spans="2:23" x14ac:dyDescent="0.4">
      <c r="B29" s="60" t="s">
        <v>106</v>
      </c>
      <c r="C29" s="60" t="s">
        <v>54</v>
      </c>
      <c r="D29" s="62"/>
      <c r="E29" s="62" t="s">
        <v>55</v>
      </c>
      <c r="F29" s="62"/>
      <c r="G29" s="61"/>
      <c r="H29" s="63">
        <f>ROUNDUP((4.8+2.2)*2/0.91,0)</f>
        <v>16</v>
      </c>
      <c r="I29" s="64" t="s">
        <v>40</v>
      </c>
      <c r="J29" s="65">
        <f>ROUNDDOWN($G$1*1528/6*8,0)</f>
        <v>2037</v>
      </c>
      <c r="K29" s="66">
        <f>ROUNDDOWN(H29*J29,0)</f>
        <v>32592</v>
      </c>
      <c r="L29" s="61"/>
      <c r="M29" s="67" t="str">
        <f>B29</f>
        <v>本体</v>
      </c>
      <c r="N29" s="67" t="str">
        <f t="shared" si="1"/>
        <v>３．外部面材等</v>
      </c>
      <c r="O29" s="67"/>
      <c r="P29" s="67" t="str">
        <f>E29</f>
        <v>・OSB合板9×910×2,420</v>
      </c>
      <c r="Q29" s="67"/>
      <c r="R29" s="67"/>
      <c r="S29" s="63">
        <f t="shared" si="3"/>
        <v>16</v>
      </c>
      <c r="T29" s="67" t="str">
        <f t="shared" si="3"/>
        <v>枚</v>
      </c>
      <c r="U29" s="65">
        <f t="shared" ref="U29:U62" si="7">ROUNDDOWN(J29*$K$1,0)</f>
        <v>3055</v>
      </c>
      <c r="V29" s="66">
        <f>ROUNDDOWN(S29*U29,0)</f>
        <v>48880</v>
      </c>
      <c r="W29" s="67">
        <f>L29</f>
        <v>0</v>
      </c>
    </row>
    <row r="30" spans="2:23" x14ac:dyDescent="0.4">
      <c r="B30" s="60"/>
      <c r="C30" s="61"/>
      <c r="D30" s="62"/>
      <c r="E30" s="62" t="s">
        <v>56</v>
      </c>
      <c r="F30" s="62"/>
      <c r="G30" s="61"/>
      <c r="H30" s="63">
        <v>0</v>
      </c>
      <c r="I30" s="64" t="s">
        <v>40</v>
      </c>
      <c r="J30" s="65">
        <f>ROUNDDOWN($G$1*1528,0)</f>
        <v>1528</v>
      </c>
      <c r="K30" s="66">
        <f>ROUNDDOWN(H30*J30,0)</f>
        <v>0</v>
      </c>
      <c r="L30" s="61"/>
      <c r="M30" s="67">
        <f>B30</f>
        <v>0</v>
      </c>
      <c r="N30" s="67">
        <f t="shared" si="1"/>
        <v>0</v>
      </c>
      <c r="O30" s="67"/>
      <c r="P30" s="67" t="str">
        <f>E30</f>
        <v>・OSB合板9×910×1,820</v>
      </c>
      <c r="Q30" s="67"/>
      <c r="R30" s="67"/>
      <c r="S30" s="63">
        <f t="shared" si="3"/>
        <v>0</v>
      </c>
      <c r="T30" s="67" t="str">
        <f t="shared" si="3"/>
        <v>枚</v>
      </c>
      <c r="U30" s="65">
        <f t="shared" si="7"/>
        <v>2292</v>
      </c>
      <c r="V30" s="66">
        <f>ROUNDDOWN(S30*U30,0)</f>
        <v>0</v>
      </c>
      <c r="W30" s="67">
        <f>L30</f>
        <v>0</v>
      </c>
    </row>
    <row r="31" spans="2:23" x14ac:dyDescent="0.4">
      <c r="B31" s="60"/>
      <c r="C31" s="61"/>
      <c r="D31" s="62"/>
      <c r="E31" s="62" t="s">
        <v>57</v>
      </c>
      <c r="F31" s="62"/>
      <c r="G31" s="61"/>
      <c r="H31" s="63">
        <f>ROUNDUP((3.64+4.55)*2*3/50,0)</f>
        <v>1</v>
      </c>
      <c r="I31" s="64" t="s">
        <v>35</v>
      </c>
      <c r="J31" s="65">
        <f>ROUNDDOWN($G$1*1200,0)</f>
        <v>1200</v>
      </c>
      <c r="K31" s="66">
        <f>ROUNDDOWN(H31*J31,0)</f>
        <v>1200</v>
      </c>
      <c r="L31" s="68"/>
      <c r="M31" s="67">
        <f>B31</f>
        <v>0</v>
      </c>
      <c r="N31" s="67">
        <f t="shared" si="1"/>
        <v>0</v>
      </c>
      <c r="O31" s="67"/>
      <c r="P31" s="67" t="str">
        <f>E31</f>
        <v>・防湿シート50m巻き</v>
      </c>
      <c r="Q31" s="67"/>
      <c r="R31" s="67"/>
      <c r="S31" s="63">
        <f t="shared" si="3"/>
        <v>1</v>
      </c>
      <c r="T31" s="67" t="str">
        <f t="shared" si="3"/>
        <v>本</v>
      </c>
      <c r="U31" s="65">
        <f t="shared" si="7"/>
        <v>1800</v>
      </c>
      <c r="V31" s="66">
        <f>ROUNDDOWN(S31*U31,0)</f>
        <v>1800</v>
      </c>
      <c r="W31" s="67">
        <f>L31</f>
        <v>0</v>
      </c>
    </row>
    <row r="32" spans="2:23" x14ac:dyDescent="0.4">
      <c r="B32" s="60"/>
      <c r="C32" s="61"/>
      <c r="D32" s="62"/>
      <c r="E32" s="62" t="s">
        <v>112</v>
      </c>
      <c r="F32" s="62"/>
      <c r="G32" s="61"/>
      <c r="H32" s="63">
        <v>1</v>
      </c>
      <c r="I32" s="64" t="s">
        <v>94</v>
      </c>
      <c r="J32" s="117">
        <v>25000</v>
      </c>
      <c r="K32" s="66">
        <f>ROUNDDOWN(H32*J32,0)</f>
        <v>25000</v>
      </c>
      <c r="L32" s="160">
        <f>SUM(K29:K32)</f>
        <v>58792</v>
      </c>
      <c r="M32" s="67">
        <f>B32</f>
        <v>0</v>
      </c>
      <c r="N32" s="67">
        <f t="shared" si="1"/>
        <v>0</v>
      </c>
      <c r="O32" s="67"/>
      <c r="P32" s="67" t="str">
        <f>E32</f>
        <v>・合板施工費</v>
      </c>
      <c r="Q32" s="67"/>
      <c r="R32" s="67"/>
      <c r="S32" s="63">
        <f t="shared" si="3"/>
        <v>1</v>
      </c>
      <c r="T32" s="67" t="str">
        <f t="shared" si="3"/>
        <v>人</v>
      </c>
      <c r="U32" s="65">
        <f t="shared" si="7"/>
        <v>37500</v>
      </c>
      <c r="V32" s="66">
        <f>ROUNDDOWN(S32*U32,0)</f>
        <v>37500</v>
      </c>
      <c r="W32" s="160">
        <f>SUM(V29:V32)</f>
        <v>88180</v>
      </c>
    </row>
    <row r="33" spans="2:23" x14ac:dyDescent="0.4">
      <c r="B33" s="112" t="s">
        <v>106</v>
      </c>
      <c r="C33" s="112" t="s">
        <v>66</v>
      </c>
      <c r="D33" s="114"/>
      <c r="E33" s="114" t="s">
        <v>156</v>
      </c>
      <c r="F33" s="114"/>
      <c r="G33" s="120"/>
      <c r="H33" s="115">
        <f>ROUNDUP(5*4.5,0)</f>
        <v>23</v>
      </c>
      <c r="I33" s="116" t="s">
        <v>155</v>
      </c>
      <c r="J33" s="117">
        <f>ROUNDDOWN($G$1*2300,0)</f>
        <v>2300</v>
      </c>
      <c r="K33" s="118">
        <f t="shared" ref="K33:K58" si="8">ROUNDDOWN(H33*J33,0)</f>
        <v>52900</v>
      </c>
      <c r="L33" s="114"/>
      <c r="M33" s="119" t="str">
        <f t="shared" ref="M33:N52" si="9">B33</f>
        <v>本体</v>
      </c>
      <c r="N33" s="67" t="str">
        <f t="shared" si="1"/>
        <v>５．断熱材</v>
      </c>
      <c r="O33" s="119"/>
      <c r="P33" s="119" t="str">
        <f t="shared" ref="P33:P52" si="10">E33</f>
        <v>・床グラスウール90㎜</v>
      </c>
      <c r="Q33" s="119"/>
      <c r="R33" s="119"/>
      <c r="S33" s="115">
        <f t="shared" si="3"/>
        <v>23</v>
      </c>
      <c r="T33" s="119" t="str">
        <f t="shared" si="3"/>
        <v>坪</v>
      </c>
      <c r="U33" s="117">
        <f t="shared" si="7"/>
        <v>3450</v>
      </c>
      <c r="V33" s="118">
        <f t="shared" ref="V33:V52" si="11">ROUNDDOWN(S33*U33,0)</f>
        <v>79350</v>
      </c>
      <c r="W33" s="119">
        <f t="shared" ref="W33:W52" si="12">L33</f>
        <v>0</v>
      </c>
    </row>
    <row r="34" spans="2:23" x14ac:dyDescent="0.4">
      <c r="B34" s="112"/>
      <c r="C34" s="114"/>
      <c r="D34" s="113"/>
      <c r="E34" s="114" t="s">
        <v>157</v>
      </c>
      <c r="F34" s="113"/>
      <c r="G34" s="114"/>
      <c r="H34" s="115">
        <f>ROUNDUP((2.2+4.8)*2*2.2/3.3124,0)</f>
        <v>10</v>
      </c>
      <c r="I34" s="116" t="s">
        <v>155</v>
      </c>
      <c r="J34" s="117">
        <f>ROUNDDOWN($G$1*2300,0)</f>
        <v>2300</v>
      </c>
      <c r="K34" s="118">
        <f t="shared" si="8"/>
        <v>23000</v>
      </c>
      <c r="L34" s="114"/>
      <c r="M34" s="119">
        <f t="shared" si="9"/>
        <v>0</v>
      </c>
      <c r="N34" s="67">
        <f t="shared" si="1"/>
        <v>0</v>
      </c>
      <c r="O34" s="119"/>
      <c r="P34" s="119" t="str">
        <f t="shared" si="10"/>
        <v>・壁グラスウール91㎜</v>
      </c>
      <c r="Q34" s="119"/>
      <c r="R34" s="119"/>
      <c r="S34" s="115">
        <f t="shared" si="3"/>
        <v>10</v>
      </c>
      <c r="T34" s="119" t="str">
        <f t="shared" si="3"/>
        <v>坪</v>
      </c>
      <c r="U34" s="117">
        <f t="shared" si="7"/>
        <v>3450</v>
      </c>
      <c r="V34" s="118">
        <f t="shared" si="11"/>
        <v>34500</v>
      </c>
      <c r="W34" s="119">
        <f t="shared" si="12"/>
        <v>0</v>
      </c>
    </row>
    <row r="35" spans="2:23" x14ac:dyDescent="0.4">
      <c r="B35" s="112"/>
      <c r="C35" s="114"/>
      <c r="D35" s="113"/>
      <c r="E35" s="114" t="s">
        <v>158</v>
      </c>
      <c r="F35" s="113"/>
      <c r="G35" s="114"/>
      <c r="H35" s="115">
        <f>ROUNDUP(2.2*4.8,0)</f>
        <v>11</v>
      </c>
      <c r="I35" s="116" t="s">
        <v>155</v>
      </c>
      <c r="J35" s="117">
        <f>ROUNDDOWN($G$1*2300,0)</f>
        <v>2300</v>
      </c>
      <c r="K35" s="118">
        <f t="shared" si="8"/>
        <v>25300</v>
      </c>
      <c r="L35" s="160">
        <f>SUM(K33:K35)</f>
        <v>101200</v>
      </c>
      <c r="M35" s="119">
        <f t="shared" si="9"/>
        <v>0</v>
      </c>
      <c r="N35" s="67">
        <f t="shared" si="1"/>
        <v>0</v>
      </c>
      <c r="O35" s="119"/>
      <c r="P35" s="119" t="str">
        <f t="shared" si="10"/>
        <v>・天井グラスウール92㎜</v>
      </c>
      <c r="Q35" s="119"/>
      <c r="R35" s="119"/>
      <c r="S35" s="115">
        <f t="shared" si="3"/>
        <v>11</v>
      </c>
      <c r="T35" s="119" t="str">
        <f t="shared" si="3"/>
        <v>坪</v>
      </c>
      <c r="U35" s="117">
        <f t="shared" si="7"/>
        <v>3450</v>
      </c>
      <c r="V35" s="118">
        <f t="shared" si="11"/>
        <v>37950</v>
      </c>
      <c r="W35" s="160">
        <f>SUM(V33:V35)</f>
        <v>151800</v>
      </c>
    </row>
    <row r="36" spans="2:23" x14ac:dyDescent="0.4">
      <c r="B36" s="112" t="s">
        <v>106</v>
      </c>
      <c r="C36" s="112" t="s">
        <v>109</v>
      </c>
      <c r="D36" s="113"/>
      <c r="E36" s="114" t="s">
        <v>58</v>
      </c>
      <c r="F36" s="113"/>
      <c r="G36" s="114"/>
      <c r="H36" s="115">
        <f>ROUNDUP(2.2*4.8,0)</f>
        <v>11</v>
      </c>
      <c r="I36" s="116" t="s">
        <v>113</v>
      </c>
      <c r="J36" s="117">
        <f>ROUNDDOWN($G$1*2300,0)</f>
        <v>2300</v>
      </c>
      <c r="K36" s="118">
        <f>ROUNDDOWN(H36*J36,0)</f>
        <v>25300</v>
      </c>
      <c r="L36" s="114" t="s">
        <v>60</v>
      </c>
      <c r="M36" s="119" t="str">
        <f>B36</f>
        <v>本体</v>
      </c>
      <c r="N36" s="67" t="str">
        <f t="shared" si="1"/>
        <v>４．屋根外壁工事</v>
      </c>
      <c r="O36" s="119"/>
      <c r="P36" s="119" t="str">
        <f>E36</f>
        <v>・屋根ガルバニュウム鋼板</v>
      </c>
      <c r="Q36" s="119"/>
      <c r="R36" s="119"/>
      <c r="S36" s="115">
        <f>H36</f>
        <v>11</v>
      </c>
      <c r="T36" s="119" t="str">
        <f>I36</f>
        <v>㎡</v>
      </c>
      <c r="U36" s="117">
        <f>ROUNDDOWN(J36*$K$1,0)</f>
        <v>3450</v>
      </c>
      <c r="V36" s="118">
        <f>ROUNDDOWN(S36*U36,0)</f>
        <v>37950</v>
      </c>
      <c r="W36" s="119" t="str">
        <f>L36</f>
        <v>4.5m×5本 素地</v>
      </c>
    </row>
    <row r="37" spans="2:23" x14ac:dyDescent="0.4">
      <c r="B37" s="112" t="s">
        <v>61</v>
      </c>
      <c r="C37" s="114" t="s">
        <v>110</v>
      </c>
      <c r="D37" s="113"/>
      <c r="E37" s="113" t="s">
        <v>62</v>
      </c>
      <c r="F37" s="113"/>
      <c r="G37" s="114"/>
      <c r="H37" s="115">
        <v>5</v>
      </c>
      <c r="I37" s="116" t="s">
        <v>35</v>
      </c>
      <c r="J37" s="117">
        <f>ROUNDDOWN($G$1*1500,0)</f>
        <v>1500</v>
      </c>
      <c r="K37" s="118">
        <f>ROUNDDOWN(H37*J37,0)</f>
        <v>7500</v>
      </c>
      <c r="L37" s="114" t="s">
        <v>63</v>
      </c>
      <c r="M37" s="119" t="str">
        <f>B37</f>
        <v>　</v>
      </c>
      <c r="N37" s="67" t="str">
        <f t="shared" si="1"/>
        <v>　（ガルバ色洗濯可能）</v>
      </c>
      <c r="O37" s="119"/>
      <c r="P37" s="119" t="str">
        <f>E37</f>
        <v>・取外し水切り糸長150㎜４ｍ</v>
      </c>
      <c r="Q37" s="119"/>
      <c r="R37" s="119"/>
      <c r="S37" s="115">
        <f>H37</f>
        <v>5</v>
      </c>
      <c r="T37" s="119" t="str">
        <f>I37</f>
        <v>本</v>
      </c>
      <c r="U37" s="117">
        <f>ROUNDDOWN(J37*$K$1,0)</f>
        <v>2250</v>
      </c>
      <c r="V37" s="118">
        <f>ROUNDDOWN(S37*U37,0)</f>
        <v>11250</v>
      </c>
      <c r="W37" s="119" t="str">
        <f>L37</f>
        <v>L=2,300㎜</v>
      </c>
    </row>
    <row r="38" spans="2:23" x14ac:dyDescent="0.4">
      <c r="B38" s="112"/>
      <c r="C38" s="114"/>
      <c r="D38" s="113"/>
      <c r="E38" s="113" t="s">
        <v>114</v>
      </c>
      <c r="F38" s="113"/>
      <c r="G38" s="114"/>
      <c r="H38" s="115">
        <f>ROUNDUP((4.8+2.2)*2*2.3,0)</f>
        <v>33</v>
      </c>
      <c r="I38" s="116" t="s">
        <v>113</v>
      </c>
      <c r="J38" s="117">
        <f>ROUNDDOWN($G$1*6500,0)</f>
        <v>6500</v>
      </c>
      <c r="K38" s="118">
        <f>ROUNDDOWN(H38*J38,0)</f>
        <v>214500</v>
      </c>
      <c r="L38" s="114" t="s">
        <v>63</v>
      </c>
      <c r="M38" s="119">
        <f>B38</f>
        <v>0</v>
      </c>
      <c r="N38" s="67">
        <f t="shared" si="1"/>
        <v>0</v>
      </c>
      <c r="O38" s="119"/>
      <c r="P38" s="119" t="str">
        <f>E38</f>
        <v>・外壁角スパンガルバ鋼板</v>
      </c>
      <c r="Q38" s="119"/>
      <c r="R38" s="119"/>
      <c r="S38" s="115">
        <f>H38</f>
        <v>33</v>
      </c>
      <c r="T38" s="119" t="str">
        <f>I38</f>
        <v>㎡</v>
      </c>
      <c r="U38" s="117">
        <f>ROUNDDOWN(J38*$K$1,0)</f>
        <v>9750</v>
      </c>
      <c r="V38" s="118">
        <f>ROUNDDOWN(S38*U38,0)</f>
        <v>321750</v>
      </c>
      <c r="W38" s="119" t="str">
        <f>L38</f>
        <v>L=2,300㎜</v>
      </c>
    </row>
    <row r="39" spans="2:23" x14ac:dyDescent="0.4">
      <c r="B39" s="112"/>
      <c r="C39" s="114"/>
      <c r="D39" s="114"/>
      <c r="E39" s="114" t="s">
        <v>64</v>
      </c>
      <c r="F39" s="114"/>
      <c r="G39" s="120"/>
      <c r="H39" s="115">
        <f>ROUNDUP(4,2)</f>
        <v>4</v>
      </c>
      <c r="I39" s="116" t="s">
        <v>35</v>
      </c>
      <c r="J39" s="117">
        <f>ROUNDDOWN($G$1*3500,0)</f>
        <v>3500</v>
      </c>
      <c r="K39" s="118">
        <f>ROUNDDOWN(H39*J39,0)</f>
        <v>14000</v>
      </c>
      <c r="L39" s="114"/>
      <c r="M39" s="119">
        <f>B39</f>
        <v>0</v>
      </c>
      <c r="N39" s="67">
        <f t="shared" si="1"/>
        <v>0</v>
      </c>
      <c r="O39" s="119"/>
      <c r="P39" s="119" t="str">
        <f>E39</f>
        <v>・唐草下がり40㎜L=3m</v>
      </c>
      <c r="Q39" s="119"/>
      <c r="R39" s="119"/>
      <c r="S39" s="115">
        <f>H39</f>
        <v>4</v>
      </c>
      <c r="T39" s="119" t="str">
        <f>I39</f>
        <v>本</v>
      </c>
      <c r="U39" s="117">
        <f>ROUNDDOWN(J39*$K$1,0)</f>
        <v>5250</v>
      </c>
      <c r="V39" s="118">
        <f>ROUNDDOWN(S39*U39,0)</f>
        <v>21000</v>
      </c>
      <c r="W39" s="119">
        <f>L39</f>
        <v>0</v>
      </c>
    </row>
    <row r="40" spans="2:23" x14ac:dyDescent="0.4">
      <c r="B40" s="112"/>
      <c r="C40" s="114"/>
      <c r="D40" s="113"/>
      <c r="E40" s="113" t="s">
        <v>65</v>
      </c>
      <c r="F40" s="113"/>
      <c r="G40" s="114"/>
      <c r="H40" s="115">
        <f>ROUNDUP(2.2*4.8,2)</f>
        <v>10.56</v>
      </c>
      <c r="I40" s="116" t="s">
        <v>113</v>
      </c>
      <c r="J40" s="117">
        <f>ROUNDDOWN($G$1*1500,0)</f>
        <v>1500</v>
      </c>
      <c r="K40" s="118">
        <f>ROUNDDOWN(H40*J40,0)</f>
        <v>15840</v>
      </c>
      <c r="L40" s="114"/>
      <c r="M40" s="119">
        <f>B40</f>
        <v>0</v>
      </c>
      <c r="N40" s="67">
        <f t="shared" si="1"/>
        <v>0</v>
      </c>
      <c r="O40" s="119"/>
      <c r="P40" s="119" t="str">
        <f>E40</f>
        <v>・床下用ガルバニュウム鋼板</v>
      </c>
      <c r="Q40" s="119"/>
      <c r="R40" s="119"/>
      <c r="S40" s="115">
        <f>H40</f>
        <v>10.56</v>
      </c>
      <c r="T40" s="119" t="str">
        <f>I40</f>
        <v>㎡</v>
      </c>
      <c r="U40" s="117">
        <f>ROUNDDOWN(J40*$K$1,0)</f>
        <v>2250</v>
      </c>
      <c r="V40" s="118">
        <f>ROUNDDOWN(S40*U40,0)</f>
        <v>23760</v>
      </c>
      <c r="W40" s="119">
        <f>L40</f>
        <v>0</v>
      </c>
    </row>
    <row r="41" spans="2:23" x14ac:dyDescent="0.4">
      <c r="B41" s="112"/>
      <c r="C41" s="114"/>
      <c r="D41" s="113"/>
      <c r="E41" s="113" t="s">
        <v>116</v>
      </c>
      <c r="F41" s="113"/>
      <c r="G41" s="114"/>
      <c r="H41" s="115">
        <v>0</v>
      </c>
      <c r="I41" s="116" t="s">
        <v>113</v>
      </c>
      <c r="J41" s="117">
        <f>ROUNDDOWN($G$1*7800,0)</f>
        <v>7800</v>
      </c>
      <c r="K41" s="118">
        <f>ROUNDDOWN(H41*J41,0)</f>
        <v>0</v>
      </c>
      <c r="L41" s="114"/>
      <c r="M41" s="119">
        <f>B41</f>
        <v>0</v>
      </c>
      <c r="N41" s="67">
        <f t="shared" si="1"/>
        <v>0</v>
      </c>
      <c r="O41" s="119"/>
      <c r="P41" s="119" t="str">
        <f>E41</f>
        <v>・下見板張り（防腐剤塗り共）</v>
      </c>
      <c r="Q41" s="119"/>
      <c r="R41" s="119"/>
      <c r="S41" s="115">
        <f>H41</f>
        <v>0</v>
      </c>
      <c r="T41" s="119" t="str">
        <f>I41</f>
        <v>㎡</v>
      </c>
      <c r="U41" s="117">
        <f>ROUNDDOWN(J41*$K$1,0)</f>
        <v>11700</v>
      </c>
      <c r="V41" s="118">
        <f>ROUNDDOWN(S41*U41,0)</f>
        <v>0</v>
      </c>
      <c r="W41" s="119">
        <f>L41</f>
        <v>0</v>
      </c>
    </row>
    <row r="42" spans="2:23" x14ac:dyDescent="0.4">
      <c r="B42" s="112"/>
      <c r="C42" s="114"/>
      <c r="D42" s="113"/>
      <c r="E42" s="113" t="s">
        <v>115</v>
      </c>
      <c r="F42" s="113"/>
      <c r="G42" s="114"/>
      <c r="H42" s="115">
        <v>3</v>
      </c>
      <c r="I42" s="116" t="s">
        <v>94</v>
      </c>
      <c r="J42" s="117">
        <f>ROUNDDOWN($G$1*25000,0)</f>
        <v>25000</v>
      </c>
      <c r="K42" s="118">
        <f>ROUNDDOWN(H42*J42,0)</f>
        <v>75000</v>
      </c>
      <c r="L42" s="160">
        <f>SUM(K36:K42)</f>
        <v>352140</v>
      </c>
      <c r="M42" s="119">
        <f>B42</f>
        <v>0</v>
      </c>
      <c r="N42" s="67">
        <f t="shared" si="1"/>
        <v>0</v>
      </c>
      <c r="O42" s="119"/>
      <c r="P42" s="119" t="str">
        <f>E42</f>
        <v>・外壁張り手間</v>
      </c>
      <c r="Q42" s="119"/>
      <c r="R42" s="119"/>
      <c r="S42" s="115">
        <f>H42</f>
        <v>3</v>
      </c>
      <c r="T42" s="119" t="str">
        <f>I42</f>
        <v>人</v>
      </c>
      <c r="U42" s="117">
        <f>ROUNDDOWN(J42*$K$1,0)</f>
        <v>37500</v>
      </c>
      <c r="V42" s="118">
        <f>ROUNDDOWN(S42*U42,0)</f>
        <v>112500</v>
      </c>
      <c r="W42" s="160">
        <f>SUM(V36:V42)</f>
        <v>528210</v>
      </c>
    </row>
    <row r="43" spans="2:23" x14ac:dyDescent="0.4">
      <c r="B43" s="112" t="s">
        <v>106</v>
      </c>
      <c r="C43" s="114" t="s">
        <v>117</v>
      </c>
      <c r="D43" s="113"/>
      <c r="E43" s="114" t="s">
        <v>151</v>
      </c>
      <c r="F43" s="113"/>
      <c r="G43" s="114"/>
      <c r="H43" s="115">
        <v>0</v>
      </c>
      <c r="I43" s="116" t="s">
        <v>40</v>
      </c>
      <c r="J43" s="117">
        <v>45000</v>
      </c>
      <c r="K43" s="118">
        <f>ROUNDDOWN(H43*J43,0)</f>
        <v>0</v>
      </c>
      <c r="L43" s="114" t="s">
        <v>150</v>
      </c>
      <c r="M43" s="119" t="str">
        <f t="shared" ref="M43" si="13">B43</f>
        <v>本体</v>
      </c>
      <c r="N43" s="67" t="str">
        <f t="shared" si="1"/>
        <v>５．サッシ木製建具工事</v>
      </c>
      <c r="O43" s="119"/>
      <c r="P43" s="119" t="str">
        <f t="shared" ref="P43" si="14">E43</f>
        <v>・木製建具（クローゼット）</v>
      </c>
      <c r="Q43" s="119"/>
      <c r="R43" s="119"/>
      <c r="S43" s="115">
        <f t="shared" ref="S43:T43" si="15">H43</f>
        <v>0</v>
      </c>
      <c r="T43" s="119" t="str">
        <f t="shared" si="15"/>
        <v>枚</v>
      </c>
      <c r="U43" s="117">
        <f>ROUNDDOWN(J43*$K$1,0)</f>
        <v>67500</v>
      </c>
      <c r="V43" s="118">
        <f t="shared" ref="V43" si="16">ROUNDDOWN(S43*U43,0)</f>
        <v>0</v>
      </c>
      <c r="W43" s="119" t="str">
        <f t="shared" ref="W43" si="17">L43</f>
        <v>収納分</v>
      </c>
    </row>
    <row r="44" spans="2:23" s="69" customFormat="1" x14ac:dyDescent="0.4">
      <c r="B44" s="112"/>
      <c r="C44" s="114"/>
      <c r="D44" s="114"/>
      <c r="E44" s="114" t="s">
        <v>82</v>
      </c>
      <c r="F44" s="114" t="s">
        <v>83</v>
      </c>
      <c r="G44" s="120"/>
      <c r="H44" s="115">
        <v>1</v>
      </c>
      <c r="I44" s="116" t="s">
        <v>77</v>
      </c>
      <c r="J44" s="117">
        <f>ROUNDDOWN($G$1*180000,0)</f>
        <v>180000</v>
      </c>
      <c r="K44" s="118">
        <f>ROUNDDOWN(H44*J44,0)</f>
        <v>180000</v>
      </c>
      <c r="L44" s="114"/>
      <c r="M44" s="119">
        <f>B44</f>
        <v>0</v>
      </c>
      <c r="N44" s="67">
        <f t="shared" si="1"/>
        <v>0</v>
      </c>
      <c r="O44" s="119"/>
      <c r="P44" s="119" t="str">
        <f>E44</f>
        <v>・サッシ</v>
      </c>
      <c r="Q44" s="119"/>
      <c r="R44" s="119"/>
      <c r="S44" s="115">
        <f>H44</f>
        <v>1</v>
      </c>
      <c r="T44" s="119" t="str">
        <f>I44</f>
        <v>台</v>
      </c>
      <c r="U44" s="117">
        <f>ROUNDDOWN(J44*$K$1,0)</f>
        <v>270000</v>
      </c>
      <c r="V44" s="118">
        <f>ROUNDDOWN(S44*U44,0)</f>
        <v>270000</v>
      </c>
      <c r="W44" s="119">
        <f>L44</f>
        <v>0</v>
      </c>
    </row>
    <row r="45" spans="2:23" s="69" customFormat="1" x14ac:dyDescent="0.4">
      <c r="B45" s="112"/>
      <c r="C45" s="114"/>
      <c r="D45" s="113"/>
      <c r="E45" s="114"/>
      <c r="F45" s="113" t="s">
        <v>84</v>
      </c>
      <c r="G45" s="114"/>
      <c r="H45" s="115">
        <v>1</v>
      </c>
      <c r="I45" s="116" t="s">
        <v>85</v>
      </c>
      <c r="J45" s="117">
        <f>ROUNDDOWN($G$1*125000,0)</f>
        <v>125000</v>
      </c>
      <c r="K45" s="118">
        <f>ROUNDDOWN(H45*J45,0)</f>
        <v>125000</v>
      </c>
      <c r="L45" s="160">
        <f>SUM(K43:K45)</f>
        <v>305000</v>
      </c>
      <c r="M45" s="119">
        <f>B45</f>
        <v>0</v>
      </c>
      <c r="N45" s="67">
        <f t="shared" si="1"/>
        <v>0</v>
      </c>
      <c r="O45" s="119"/>
      <c r="P45" s="119">
        <f>E45</f>
        <v>0</v>
      </c>
      <c r="Q45" s="119"/>
      <c r="R45" s="119"/>
      <c r="S45" s="115">
        <f>H45</f>
        <v>1</v>
      </c>
      <c r="T45" s="119" t="str">
        <f>I45</f>
        <v>式</v>
      </c>
      <c r="U45" s="117">
        <f>ROUNDDOWN(J45*$K$1,0)</f>
        <v>187500</v>
      </c>
      <c r="V45" s="118">
        <f>ROUNDDOWN(S45*U45,0)</f>
        <v>187500</v>
      </c>
      <c r="W45" s="160">
        <f>SUM(V43:V45)</f>
        <v>457500</v>
      </c>
    </row>
    <row r="46" spans="2:23" x14ac:dyDescent="0.4">
      <c r="B46" s="141" t="s">
        <v>118</v>
      </c>
      <c r="C46" s="142"/>
      <c r="D46" s="143"/>
      <c r="E46" s="143"/>
      <c r="F46" s="143"/>
      <c r="G46" s="142"/>
      <c r="H46" s="144">
        <v>1</v>
      </c>
      <c r="I46" s="145" t="s">
        <v>85</v>
      </c>
      <c r="J46" s="146"/>
      <c r="K46" s="147">
        <f>ROUNDDOWN(SUM(K15:K45)*$J$1,0)</f>
        <v>160065</v>
      </c>
      <c r="L46" s="142"/>
      <c r="M46" s="141" t="str">
        <f t="shared" ref="M46:M47" si="18">B46</f>
        <v>本体諸費用（交通費、労災、安全管理費等）</v>
      </c>
      <c r="N46" s="148"/>
      <c r="O46" s="148"/>
      <c r="P46" s="143"/>
      <c r="Q46" s="143"/>
      <c r="R46" s="142"/>
      <c r="S46" s="144">
        <f t="shared" ref="S46:T47" si="19">H46</f>
        <v>1</v>
      </c>
      <c r="T46" s="141" t="str">
        <f t="shared" si="19"/>
        <v>式</v>
      </c>
      <c r="U46" s="146"/>
      <c r="V46" s="147">
        <f>ROUNDDOWN(SUM(V15:V45)*$J$1,0)</f>
        <v>240091</v>
      </c>
      <c r="W46" s="148">
        <f t="shared" ref="W46:W47" si="20">L46</f>
        <v>0</v>
      </c>
    </row>
    <row r="47" spans="2:23" s="122" customFormat="1" x14ac:dyDescent="0.4">
      <c r="B47" s="128" t="s">
        <v>137</v>
      </c>
      <c r="C47" s="129"/>
      <c r="D47" s="129"/>
      <c r="E47" s="129"/>
      <c r="F47" s="129"/>
      <c r="G47" s="130"/>
      <c r="H47" s="131"/>
      <c r="I47" s="132"/>
      <c r="J47" s="133"/>
      <c r="K47" s="134">
        <f>SUM(K15:K46)</f>
        <v>1227165</v>
      </c>
      <c r="L47" s="129"/>
      <c r="M47" s="135" t="str">
        <f t="shared" si="18"/>
        <v>【本体価格計】</v>
      </c>
      <c r="N47" s="135"/>
      <c r="O47" s="135"/>
      <c r="P47" s="135">
        <f t="shared" ref="P47" si="21">E47</f>
        <v>0</v>
      </c>
      <c r="Q47" s="135"/>
      <c r="R47" s="135"/>
      <c r="S47" s="131">
        <f t="shared" si="19"/>
        <v>0</v>
      </c>
      <c r="T47" s="135">
        <f t="shared" si="19"/>
        <v>0</v>
      </c>
      <c r="U47" s="133">
        <f t="shared" ref="U47" si="22">ROUNDDOWN(J47*$K$1,0)</f>
        <v>0</v>
      </c>
      <c r="V47" s="134">
        <f>SUM(V15:V46)</f>
        <v>1840701</v>
      </c>
      <c r="W47" s="135">
        <f t="shared" si="20"/>
        <v>0</v>
      </c>
    </row>
    <row r="48" spans="2:23" s="122" customFormat="1" x14ac:dyDescent="0.4">
      <c r="B48" s="112" t="s">
        <v>119</v>
      </c>
      <c r="C48" s="112" t="s">
        <v>120</v>
      </c>
      <c r="D48" s="114"/>
      <c r="E48" s="114" t="s">
        <v>152</v>
      </c>
      <c r="F48" s="114"/>
      <c r="G48" s="120"/>
      <c r="H48" s="115">
        <f>ROUNDUP(4.8*2.2,2)</f>
        <v>10.56</v>
      </c>
      <c r="I48" s="116" t="s">
        <v>70</v>
      </c>
      <c r="J48" s="117">
        <v>9800</v>
      </c>
      <c r="K48" s="118">
        <f t="shared" si="8"/>
        <v>103488</v>
      </c>
      <c r="L48" s="114" t="s">
        <v>71</v>
      </c>
      <c r="M48" s="119" t="str">
        <f t="shared" si="9"/>
        <v>ｵﾌﾟｼｮﾝ</v>
      </c>
      <c r="N48" s="67" t="str">
        <f t="shared" si="9"/>
        <v>１．内装仕上げ</v>
      </c>
      <c r="O48" s="119"/>
      <c r="P48" s="119" t="str">
        <f t="shared" si="10"/>
        <v>・床フローリング</v>
      </c>
      <c r="Q48" s="119"/>
      <c r="R48" s="119"/>
      <c r="S48" s="115">
        <f t="shared" si="3"/>
        <v>10.56</v>
      </c>
      <c r="T48" s="119" t="str">
        <f t="shared" si="3"/>
        <v>ｹｰｽ</v>
      </c>
      <c r="U48" s="117">
        <f t="shared" si="7"/>
        <v>14700</v>
      </c>
      <c r="V48" s="118">
        <f t="shared" si="11"/>
        <v>155232</v>
      </c>
      <c r="W48" s="119" t="str">
        <f t="shared" si="12"/>
        <v>クリア塗装品</v>
      </c>
    </row>
    <row r="49" spans="2:23" s="122" customFormat="1" x14ac:dyDescent="0.4">
      <c r="B49" s="112"/>
      <c r="C49" s="114"/>
      <c r="D49" s="114"/>
      <c r="E49" s="114" t="s">
        <v>153</v>
      </c>
      <c r="F49" s="114"/>
      <c r="G49" s="120"/>
      <c r="H49" s="115">
        <f>ROUNDUP((4.8+2.2)*2*2.2,2)</f>
        <v>30.8</v>
      </c>
      <c r="I49" s="116" t="s">
        <v>113</v>
      </c>
      <c r="J49" s="117">
        <v>2500</v>
      </c>
      <c r="K49" s="118">
        <f t="shared" si="8"/>
        <v>77000</v>
      </c>
      <c r="L49" s="114" t="s">
        <v>72</v>
      </c>
      <c r="M49" s="119">
        <f t="shared" si="9"/>
        <v>0</v>
      </c>
      <c r="N49" s="67">
        <f t="shared" si="9"/>
        <v>0</v>
      </c>
      <c r="O49" s="119"/>
      <c r="P49" s="119" t="str">
        <f t="shared" si="10"/>
        <v>・壁クロス仕上げ</v>
      </c>
      <c r="Q49" s="119"/>
      <c r="R49" s="119"/>
      <c r="S49" s="115">
        <f t="shared" si="3"/>
        <v>30.8</v>
      </c>
      <c r="T49" s="119" t="str">
        <f t="shared" si="3"/>
        <v>㎡</v>
      </c>
      <c r="U49" s="117">
        <f t="shared" si="7"/>
        <v>3750</v>
      </c>
      <c r="V49" s="118">
        <f t="shared" si="11"/>
        <v>115500</v>
      </c>
      <c r="W49" s="119" t="str">
        <f t="shared" si="12"/>
        <v>910×2,420</v>
      </c>
    </row>
    <row r="50" spans="2:23" s="122" customFormat="1" x14ac:dyDescent="0.4">
      <c r="B50" s="112"/>
      <c r="C50" s="114"/>
      <c r="D50" s="114"/>
      <c r="E50" s="114" t="s">
        <v>161</v>
      </c>
      <c r="F50" s="114"/>
      <c r="G50" s="120"/>
      <c r="H50" s="115">
        <f>ROUNDUP(4.8*2.2-1.365-1.82,2)</f>
        <v>7.38</v>
      </c>
      <c r="I50" s="116" t="s">
        <v>113</v>
      </c>
      <c r="J50" s="117">
        <v>2500</v>
      </c>
      <c r="K50" s="118">
        <f t="shared" ref="K50" si="23">ROUNDDOWN(H50*J50,0)</f>
        <v>18450</v>
      </c>
      <c r="L50" s="114" t="s">
        <v>72</v>
      </c>
      <c r="M50" s="119">
        <f t="shared" ref="M50" si="24">B50</f>
        <v>0</v>
      </c>
      <c r="N50" s="67">
        <f t="shared" ref="N50" si="25">C50</f>
        <v>0</v>
      </c>
      <c r="O50" s="119"/>
      <c r="P50" s="119" t="str">
        <f t="shared" ref="P50" si="26">E50</f>
        <v>・天井クロス仕上げ</v>
      </c>
      <c r="Q50" s="119"/>
      <c r="R50" s="119"/>
      <c r="S50" s="115">
        <f t="shared" ref="S50" si="27">H50</f>
        <v>7.38</v>
      </c>
      <c r="T50" s="119" t="str">
        <f t="shared" ref="T50" si="28">I50</f>
        <v>㎡</v>
      </c>
      <c r="U50" s="117">
        <f t="shared" ref="U50" si="29">ROUNDDOWN(J50*$K$1,0)</f>
        <v>3750</v>
      </c>
      <c r="V50" s="118">
        <f t="shared" ref="V50" si="30">ROUNDDOWN(S50*U50,0)</f>
        <v>27675</v>
      </c>
      <c r="W50" s="119" t="str">
        <f t="shared" ref="W50" si="31">L50</f>
        <v>910×2,420</v>
      </c>
    </row>
    <row r="51" spans="2:23" s="122" customFormat="1" x14ac:dyDescent="0.4">
      <c r="B51" s="112"/>
      <c r="C51" s="114"/>
      <c r="D51" s="114"/>
      <c r="E51" s="114" t="s">
        <v>160</v>
      </c>
      <c r="F51" s="114"/>
      <c r="G51" s="115"/>
      <c r="H51" s="115">
        <f>$H$50</f>
        <v>7.38</v>
      </c>
      <c r="I51" s="116" t="s">
        <v>113</v>
      </c>
      <c r="J51" s="117">
        <v>2100</v>
      </c>
      <c r="K51" s="118">
        <f t="shared" si="8"/>
        <v>15498</v>
      </c>
      <c r="L51" s="114" t="s">
        <v>73</v>
      </c>
      <c r="M51" s="119">
        <f t="shared" si="9"/>
        <v>0</v>
      </c>
      <c r="N51" s="67">
        <f t="shared" si="9"/>
        <v>0</v>
      </c>
      <c r="O51" s="119"/>
      <c r="P51" s="119" t="str">
        <f t="shared" si="10"/>
        <v>・天井ラワン合板4㎜</v>
      </c>
      <c r="Q51" s="119"/>
      <c r="R51" s="119"/>
      <c r="S51" s="115">
        <f t="shared" si="3"/>
        <v>7.38</v>
      </c>
      <c r="T51" s="119" t="str">
        <f t="shared" si="3"/>
        <v>㎡</v>
      </c>
      <c r="U51" s="117">
        <f t="shared" si="7"/>
        <v>3150</v>
      </c>
      <c r="V51" s="118">
        <f t="shared" si="11"/>
        <v>23247</v>
      </c>
      <c r="W51" s="119" t="str">
        <f t="shared" si="12"/>
        <v>910×1,820</v>
      </c>
    </row>
    <row r="52" spans="2:23" s="122" customFormat="1" x14ac:dyDescent="0.4">
      <c r="B52" s="112" t="s">
        <v>119</v>
      </c>
      <c r="C52" s="112" t="s">
        <v>121</v>
      </c>
      <c r="D52" s="113"/>
      <c r="E52" s="114" t="s">
        <v>164</v>
      </c>
      <c r="F52" s="113"/>
      <c r="G52" s="114"/>
      <c r="H52" s="115">
        <v>1</v>
      </c>
      <c r="I52" s="116" t="s">
        <v>77</v>
      </c>
      <c r="J52" s="117">
        <v>540000</v>
      </c>
      <c r="K52" s="118">
        <f t="shared" si="8"/>
        <v>540000</v>
      </c>
      <c r="L52" s="114"/>
      <c r="M52" s="119" t="str">
        <f t="shared" si="9"/>
        <v>ｵﾌﾟｼｮﾝ</v>
      </c>
      <c r="N52" s="67" t="str">
        <f t="shared" si="9"/>
        <v>２．設備機器</v>
      </c>
      <c r="O52" s="119"/>
      <c r="P52" s="119" t="str">
        <f t="shared" si="10"/>
        <v>・シャワーユニット1116</v>
      </c>
      <c r="Q52" s="119"/>
      <c r="R52" s="119"/>
      <c r="S52" s="115">
        <f t="shared" si="3"/>
        <v>1</v>
      </c>
      <c r="T52" s="119" t="str">
        <f t="shared" si="3"/>
        <v>台</v>
      </c>
      <c r="U52" s="117">
        <f t="shared" si="7"/>
        <v>810000</v>
      </c>
      <c r="V52" s="118">
        <f t="shared" si="11"/>
        <v>810000</v>
      </c>
      <c r="W52" s="119">
        <f t="shared" si="12"/>
        <v>0</v>
      </c>
    </row>
    <row r="53" spans="2:23" s="123" customFormat="1" x14ac:dyDescent="0.4">
      <c r="B53" s="112"/>
      <c r="C53" s="114"/>
      <c r="D53" s="114"/>
      <c r="E53" s="114" t="s">
        <v>144</v>
      </c>
      <c r="F53" s="114"/>
      <c r="G53" s="120"/>
      <c r="H53" s="115">
        <v>0</v>
      </c>
      <c r="I53" s="116" t="s">
        <v>77</v>
      </c>
      <c r="J53" s="117">
        <v>150000</v>
      </c>
      <c r="K53" s="118">
        <f t="shared" si="8"/>
        <v>0</v>
      </c>
      <c r="L53" s="114"/>
      <c r="M53" s="119">
        <f>B53</f>
        <v>0</v>
      </c>
      <c r="N53" s="67">
        <f t="shared" ref="N53:N64" si="32">C53</f>
        <v>0</v>
      </c>
      <c r="O53" s="119"/>
      <c r="P53" s="119" t="str">
        <f>E53</f>
        <v>・ウォッシュレット</v>
      </c>
      <c r="Q53" s="119"/>
      <c r="R53" s="119"/>
      <c r="S53" s="115">
        <f>H53</f>
        <v>0</v>
      </c>
      <c r="T53" s="119" t="str">
        <f>I53</f>
        <v>台</v>
      </c>
      <c r="U53" s="117">
        <f t="shared" si="7"/>
        <v>225000</v>
      </c>
      <c r="V53" s="118">
        <f>ROUNDDOWN(S53*U53,0)</f>
        <v>0</v>
      </c>
      <c r="W53" s="119">
        <f>L53</f>
        <v>0</v>
      </c>
    </row>
    <row r="54" spans="2:23" s="123" customFormat="1" x14ac:dyDescent="0.4">
      <c r="B54" s="112"/>
      <c r="C54" s="114"/>
      <c r="D54" s="114"/>
      <c r="E54" s="114" t="s">
        <v>145</v>
      </c>
      <c r="F54" s="114"/>
      <c r="G54" s="120"/>
      <c r="H54" s="115">
        <v>0</v>
      </c>
      <c r="I54" s="116" t="s">
        <v>77</v>
      </c>
      <c r="J54" s="117">
        <v>125000</v>
      </c>
      <c r="K54" s="118">
        <f t="shared" si="8"/>
        <v>0</v>
      </c>
      <c r="L54" s="114"/>
      <c r="M54" s="119">
        <f>B54</f>
        <v>0</v>
      </c>
      <c r="N54" s="67">
        <f t="shared" si="32"/>
        <v>0</v>
      </c>
      <c r="O54" s="119"/>
      <c r="P54" s="119" t="str">
        <f>E54</f>
        <v>・ミニキッチン</v>
      </c>
      <c r="Q54" s="119"/>
      <c r="R54" s="119"/>
      <c r="S54" s="115">
        <f>H54</f>
        <v>0</v>
      </c>
      <c r="T54" s="119" t="str">
        <f>I54</f>
        <v>台</v>
      </c>
      <c r="U54" s="117">
        <f t="shared" si="7"/>
        <v>187500</v>
      </c>
      <c r="V54" s="118">
        <f>ROUNDDOWN(S54*U54,0)</f>
        <v>0</v>
      </c>
      <c r="W54" s="119">
        <f>L54</f>
        <v>0</v>
      </c>
    </row>
    <row r="55" spans="2:23" s="123" customFormat="1" x14ac:dyDescent="0.4">
      <c r="B55" s="112"/>
      <c r="C55" s="114"/>
      <c r="D55" s="114"/>
      <c r="E55" s="114" t="s">
        <v>78</v>
      </c>
      <c r="F55" s="114"/>
      <c r="G55" s="120"/>
      <c r="H55" s="115">
        <v>0</v>
      </c>
      <c r="I55" s="116" t="s">
        <v>77</v>
      </c>
      <c r="J55" s="117">
        <f>ROUNDDOWN($G$1*250000,0)</f>
        <v>250000</v>
      </c>
      <c r="K55" s="118">
        <f t="shared" si="8"/>
        <v>0</v>
      </c>
      <c r="L55" s="114"/>
      <c r="M55" s="119">
        <f>B55</f>
        <v>0</v>
      </c>
      <c r="N55" s="67">
        <f t="shared" si="32"/>
        <v>0</v>
      </c>
      <c r="O55" s="119"/>
      <c r="P55" s="119" t="str">
        <f>E55</f>
        <v>・エアコン</v>
      </c>
      <c r="Q55" s="119"/>
      <c r="R55" s="119"/>
      <c r="S55" s="115">
        <f>H55</f>
        <v>0</v>
      </c>
      <c r="T55" s="119" t="str">
        <f>I55</f>
        <v>台</v>
      </c>
      <c r="U55" s="117">
        <f t="shared" si="7"/>
        <v>375000</v>
      </c>
      <c r="V55" s="118">
        <f>ROUNDDOWN(S55*U55,0)</f>
        <v>0</v>
      </c>
      <c r="W55" s="119">
        <f>L55</f>
        <v>0</v>
      </c>
    </row>
    <row r="56" spans="2:23" s="123" customFormat="1" x14ac:dyDescent="0.4">
      <c r="B56" s="112"/>
      <c r="C56" s="114"/>
      <c r="D56" s="114"/>
      <c r="E56" s="114" t="s">
        <v>79</v>
      </c>
      <c r="F56" s="114"/>
      <c r="G56" s="120"/>
      <c r="H56" s="115">
        <v>0</v>
      </c>
      <c r="I56" s="116" t="s">
        <v>77</v>
      </c>
      <c r="J56" s="117">
        <f>ROUNDDOWN($G$1*180000,0)</f>
        <v>180000</v>
      </c>
      <c r="K56" s="118">
        <f t="shared" si="8"/>
        <v>0</v>
      </c>
      <c r="L56" s="114"/>
      <c r="M56" s="119">
        <f>B56</f>
        <v>0</v>
      </c>
      <c r="N56" s="67">
        <f t="shared" si="32"/>
        <v>0</v>
      </c>
      <c r="O56" s="119"/>
      <c r="P56" s="119" t="str">
        <f>E56</f>
        <v>・ガス給湯器16号</v>
      </c>
      <c r="Q56" s="119"/>
      <c r="R56" s="119"/>
      <c r="S56" s="115">
        <f>H56</f>
        <v>0</v>
      </c>
      <c r="T56" s="119" t="str">
        <f>I56</f>
        <v>台</v>
      </c>
      <c r="U56" s="117">
        <f t="shared" si="7"/>
        <v>270000</v>
      </c>
      <c r="V56" s="118">
        <f>ROUNDDOWN(S56*U56,0)</f>
        <v>0</v>
      </c>
      <c r="W56" s="119">
        <f>L56</f>
        <v>0</v>
      </c>
    </row>
    <row r="57" spans="2:23" s="123" customFormat="1" x14ac:dyDescent="0.4">
      <c r="B57" s="112"/>
      <c r="C57" s="114"/>
      <c r="D57" s="113"/>
      <c r="E57" s="114" t="s">
        <v>86</v>
      </c>
      <c r="F57" s="113"/>
      <c r="G57" s="114"/>
      <c r="H57" s="115">
        <v>0</v>
      </c>
      <c r="I57" s="116" t="s">
        <v>77</v>
      </c>
      <c r="J57" s="117">
        <f>ROUNDDOWN($G$1*35000,0)</f>
        <v>35000</v>
      </c>
      <c r="K57" s="118">
        <f t="shared" si="8"/>
        <v>0</v>
      </c>
      <c r="L57" s="114"/>
      <c r="M57" s="119">
        <f t="shared" ref="M57:M58" si="33">B57</f>
        <v>0</v>
      </c>
      <c r="N57" s="67">
        <f t="shared" si="32"/>
        <v>0</v>
      </c>
      <c r="O57" s="119"/>
      <c r="P57" s="119" t="str">
        <f t="shared" ref="P57:P58" si="34">E57</f>
        <v>・スマートキー</v>
      </c>
      <c r="Q57" s="119"/>
      <c r="R57" s="119"/>
      <c r="S57" s="115">
        <f t="shared" ref="S57:T58" si="35">H57</f>
        <v>0</v>
      </c>
      <c r="T57" s="119" t="str">
        <f t="shared" si="35"/>
        <v>台</v>
      </c>
      <c r="U57" s="117">
        <f t="shared" si="7"/>
        <v>52500</v>
      </c>
      <c r="V57" s="118">
        <f t="shared" ref="V57:V58" si="36">ROUNDDOWN(S57*U57,0)</f>
        <v>0</v>
      </c>
      <c r="W57" s="119">
        <f t="shared" ref="W57:W58" si="37">L57</f>
        <v>0</v>
      </c>
    </row>
    <row r="58" spans="2:23" s="123" customFormat="1" x14ac:dyDescent="0.4">
      <c r="B58" s="112"/>
      <c r="C58" s="114"/>
      <c r="D58" s="113"/>
      <c r="E58" s="114" t="s">
        <v>87</v>
      </c>
      <c r="F58" s="113"/>
      <c r="G58" s="114"/>
      <c r="H58" s="115">
        <v>0</v>
      </c>
      <c r="I58" s="116" t="s">
        <v>88</v>
      </c>
      <c r="J58" s="117">
        <f t="shared" ref="J58:J75" si="38">ROUNDDOWN($G$1*0,0)</f>
        <v>0</v>
      </c>
      <c r="K58" s="118">
        <f t="shared" si="8"/>
        <v>0</v>
      </c>
      <c r="L58" s="114"/>
      <c r="M58" s="119">
        <f t="shared" si="33"/>
        <v>0</v>
      </c>
      <c r="N58" s="67">
        <f t="shared" si="32"/>
        <v>0</v>
      </c>
      <c r="O58" s="119"/>
      <c r="P58" s="119" t="str">
        <f t="shared" si="34"/>
        <v>・ハンガーパイプ（取付金物共）</v>
      </c>
      <c r="Q58" s="119"/>
      <c r="R58" s="119"/>
      <c r="S58" s="115">
        <f t="shared" si="35"/>
        <v>0</v>
      </c>
      <c r="T58" s="119" t="str">
        <f t="shared" si="35"/>
        <v>ｾｯﾄ</v>
      </c>
      <c r="U58" s="117">
        <f t="shared" si="7"/>
        <v>0</v>
      </c>
      <c r="V58" s="118">
        <f t="shared" si="36"/>
        <v>0</v>
      </c>
      <c r="W58" s="119">
        <f t="shared" si="37"/>
        <v>0</v>
      </c>
    </row>
    <row r="59" spans="2:23" s="123" customFormat="1" x14ac:dyDescent="0.4">
      <c r="B59" s="112"/>
      <c r="C59" s="114"/>
      <c r="D59" s="114"/>
      <c r="E59" s="114" t="s">
        <v>89</v>
      </c>
      <c r="F59" s="114"/>
      <c r="G59" s="120"/>
      <c r="H59" s="115">
        <v>0</v>
      </c>
      <c r="I59" s="116" t="s">
        <v>88</v>
      </c>
      <c r="J59" s="117">
        <f t="shared" si="38"/>
        <v>0</v>
      </c>
      <c r="K59" s="118">
        <f>ROUNDDOWN(H59*J59,0)</f>
        <v>0</v>
      </c>
      <c r="L59" s="114"/>
      <c r="M59" s="119">
        <f>B59</f>
        <v>0</v>
      </c>
      <c r="N59" s="67">
        <f t="shared" si="32"/>
        <v>0</v>
      </c>
      <c r="O59" s="119"/>
      <c r="P59" s="119" t="str">
        <f>E59</f>
        <v>・洋服掛け15×15</v>
      </c>
      <c r="Q59" s="119"/>
      <c r="R59" s="119"/>
      <c r="S59" s="115">
        <f>H59</f>
        <v>0</v>
      </c>
      <c r="T59" s="119" t="str">
        <f>I59</f>
        <v>ｾｯﾄ</v>
      </c>
      <c r="U59" s="117">
        <f t="shared" si="7"/>
        <v>0</v>
      </c>
      <c r="V59" s="118">
        <f>ROUNDDOWN(S59*U59,0)</f>
        <v>0</v>
      </c>
      <c r="W59" s="119">
        <f>L59</f>
        <v>0</v>
      </c>
    </row>
    <row r="60" spans="2:23" s="127" customFormat="1" x14ac:dyDescent="0.4">
      <c r="B60" s="124"/>
      <c r="C60" s="116"/>
      <c r="D60" s="125"/>
      <c r="E60" s="116" t="s">
        <v>90</v>
      </c>
      <c r="F60" s="125"/>
      <c r="G60" s="116"/>
      <c r="H60" s="115">
        <v>0</v>
      </c>
      <c r="I60" s="116" t="s">
        <v>77</v>
      </c>
      <c r="J60" s="117">
        <v>46150</v>
      </c>
      <c r="K60" s="117">
        <f t="shared" ref="K60" si="39">ROUNDDOWN(H60*J60,0)</f>
        <v>0</v>
      </c>
      <c r="L60" s="116" t="s">
        <v>91</v>
      </c>
      <c r="M60" s="126">
        <f t="shared" ref="M60" si="40">B60</f>
        <v>0</v>
      </c>
      <c r="N60" s="67">
        <f t="shared" si="32"/>
        <v>0</v>
      </c>
      <c r="O60" s="126"/>
      <c r="P60" s="126" t="str">
        <f t="shared" ref="P60" si="41">E60</f>
        <v>・洗面器KB-PR012-03-G141</v>
      </c>
      <c r="Q60" s="126"/>
      <c r="R60" s="126"/>
      <c r="S60" s="115">
        <f t="shared" ref="S60:T60" si="42">H60</f>
        <v>0</v>
      </c>
      <c r="T60" s="126" t="str">
        <f t="shared" si="42"/>
        <v>台</v>
      </c>
      <c r="U60" s="117">
        <f t="shared" si="7"/>
        <v>69225</v>
      </c>
      <c r="V60" s="117">
        <f t="shared" ref="V60" si="43">ROUNDDOWN(S60*U60,0)</f>
        <v>0</v>
      </c>
      <c r="W60" s="126" t="str">
        <f t="shared" ref="W60" si="44">L60</f>
        <v>toolbox</v>
      </c>
    </row>
    <row r="61" spans="2:23" s="122" customFormat="1" x14ac:dyDescent="0.4">
      <c r="B61" s="112"/>
      <c r="C61" s="114"/>
      <c r="D61" s="114"/>
      <c r="E61" s="114" t="s">
        <v>92</v>
      </c>
      <c r="F61" s="114"/>
      <c r="G61" s="120"/>
      <c r="H61" s="115">
        <v>0</v>
      </c>
      <c r="I61" s="116" t="s">
        <v>77</v>
      </c>
      <c r="J61" s="117">
        <v>60000</v>
      </c>
      <c r="K61" s="118">
        <f>ROUNDDOWN(H61*J61,0)</f>
        <v>0</v>
      </c>
      <c r="L61" s="114" t="s">
        <v>91</v>
      </c>
      <c r="M61" s="119">
        <f>B61</f>
        <v>0</v>
      </c>
      <c r="N61" s="67">
        <f t="shared" si="32"/>
        <v>0</v>
      </c>
      <c r="O61" s="119"/>
      <c r="P61" s="119" t="str">
        <f>E61</f>
        <v>・混合水栓KB-TP006-01-G141</v>
      </c>
      <c r="Q61" s="119"/>
      <c r="R61" s="119"/>
      <c r="S61" s="115">
        <f>H61</f>
        <v>0</v>
      </c>
      <c r="T61" s="119" t="str">
        <f>I61</f>
        <v>台</v>
      </c>
      <c r="U61" s="117">
        <f t="shared" si="7"/>
        <v>90000</v>
      </c>
      <c r="V61" s="118">
        <f>ROUNDDOWN(S61*U61,0)</f>
        <v>0</v>
      </c>
      <c r="W61" s="119" t="str">
        <f>L61</f>
        <v>toolbox</v>
      </c>
    </row>
    <row r="62" spans="2:23" x14ac:dyDescent="0.4">
      <c r="B62" s="112"/>
      <c r="C62" s="114"/>
      <c r="D62" s="114"/>
      <c r="E62" s="114" t="s">
        <v>93</v>
      </c>
      <c r="F62" s="114"/>
      <c r="G62" s="120"/>
      <c r="H62" s="115">
        <v>0</v>
      </c>
      <c r="I62" s="116" t="s">
        <v>77</v>
      </c>
      <c r="J62" s="117">
        <f>ROUNDDOWN($G$1*80000,0)</f>
        <v>80000</v>
      </c>
      <c r="K62" s="118">
        <f>ROUNDDOWN(H62*J62,0)</f>
        <v>0</v>
      </c>
      <c r="L62" s="121">
        <f>SUM(K52:K62)</f>
        <v>540000</v>
      </c>
      <c r="M62" s="119">
        <f>B62</f>
        <v>0</v>
      </c>
      <c r="N62" s="67">
        <f t="shared" si="32"/>
        <v>0</v>
      </c>
      <c r="O62" s="119"/>
      <c r="P62" s="119" t="str">
        <f>E62</f>
        <v>・折り畳み式ベット1200×2000</v>
      </c>
      <c r="Q62" s="119"/>
      <c r="R62" s="119"/>
      <c r="S62" s="115">
        <f>H62</f>
        <v>0</v>
      </c>
      <c r="T62" s="119" t="str">
        <f>I62</f>
        <v>台</v>
      </c>
      <c r="U62" s="117">
        <f t="shared" si="7"/>
        <v>120000</v>
      </c>
      <c r="V62" s="118">
        <f>ROUNDDOWN(S62*U62,0)</f>
        <v>0</v>
      </c>
      <c r="W62" s="119">
        <f>L62</f>
        <v>540000</v>
      </c>
    </row>
    <row r="63" spans="2:23" x14ac:dyDescent="0.4">
      <c r="B63" s="112" t="s">
        <v>119</v>
      </c>
      <c r="C63" s="112" t="s">
        <v>148</v>
      </c>
      <c r="D63" s="114"/>
      <c r="E63" s="114" t="s">
        <v>95</v>
      </c>
      <c r="F63" s="114"/>
      <c r="G63" s="120"/>
      <c r="H63" s="115">
        <f>ROUNDUP(2.2*4.8/3.3124*1,2)</f>
        <v>3.19</v>
      </c>
      <c r="I63" s="116" t="s">
        <v>94</v>
      </c>
      <c r="J63" s="117">
        <f>ROUNDDOWN(30000,0)</f>
        <v>30000</v>
      </c>
      <c r="K63" s="118">
        <f>ROUNDDOWN(H63*J63,0)</f>
        <v>95700</v>
      </c>
      <c r="L63" s="121">
        <f>SUM(K63:K63)</f>
        <v>95700</v>
      </c>
      <c r="M63" s="119" t="str">
        <f>B63</f>
        <v>ｵﾌﾟｼｮﾝ</v>
      </c>
      <c r="N63" s="67" t="str">
        <f t="shared" si="32"/>
        <v>３．造作工事</v>
      </c>
      <c r="O63" s="119"/>
      <c r="P63" s="119" t="str">
        <f>E63</f>
        <v>・室内造作（建具取付まで）</v>
      </c>
      <c r="Q63" s="119"/>
      <c r="R63" s="119"/>
      <c r="S63" s="115">
        <f>H63</f>
        <v>3.19</v>
      </c>
      <c r="T63" s="119" t="str">
        <f>I63</f>
        <v>人</v>
      </c>
      <c r="U63" s="117">
        <f>ROUNDDOWN(25000,0)</f>
        <v>25000</v>
      </c>
      <c r="V63" s="118">
        <f>ROUNDDOWN(S63*U63,0)</f>
        <v>79750</v>
      </c>
      <c r="W63" s="119">
        <f>L63</f>
        <v>95700</v>
      </c>
    </row>
    <row r="64" spans="2:23" x14ac:dyDescent="0.4">
      <c r="B64" s="60"/>
      <c r="C64" s="60" t="s">
        <v>147</v>
      </c>
      <c r="D64" s="62"/>
      <c r="E64" s="62"/>
      <c r="F64" s="62"/>
      <c r="G64" s="61"/>
      <c r="H64" s="63">
        <v>1</v>
      </c>
      <c r="I64" s="64" t="s">
        <v>85</v>
      </c>
      <c r="J64" s="65">
        <f t="shared" si="38"/>
        <v>0</v>
      </c>
      <c r="K64" s="66">
        <f t="shared" ref="K64" si="45">ROUNDDOWN(H64*J64,0)</f>
        <v>0</v>
      </c>
      <c r="L64" s="61"/>
      <c r="M64" s="67">
        <f t="shared" ref="M64:N75" si="46">B64</f>
        <v>0</v>
      </c>
      <c r="N64" s="67" t="str">
        <f t="shared" si="32"/>
        <v>４．各種養生（床養生マット、壁ビニールシート等）</v>
      </c>
      <c r="O64" s="67"/>
      <c r="P64" s="62"/>
      <c r="Q64" s="62"/>
      <c r="R64" s="61"/>
      <c r="S64" s="63">
        <f t="shared" ref="S64:T68" si="47">H64</f>
        <v>1</v>
      </c>
      <c r="T64" s="67" t="str">
        <f t="shared" si="47"/>
        <v>式</v>
      </c>
      <c r="U64" s="65">
        <f t="shared" ref="U64" si="48">ROUNDDOWN(J64*$K$1,0)</f>
        <v>0</v>
      </c>
      <c r="V64" s="66">
        <f t="shared" ref="V64" si="49">ROUNDDOWN(S64*U64,0)</f>
        <v>0</v>
      </c>
      <c r="W64" s="67">
        <f t="shared" ref="W64:W68" si="50">L64</f>
        <v>0</v>
      </c>
    </row>
    <row r="65" spans="2:23" x14ac:dyDescent="0.4">
      <c r="B65" s="141" t="s">
        <v>119</v>
      </c>
      <c r="C65" s="141" t="s">
        <v>124</v>
      </c>
      <c r="D65" s="143"/>
      <c r="E65" s="143"/>
      <c r="F65" s="143"/>
      <c r="G65" s="142"/>
      <c r="H65" s="144">
        <v>1</v>
      </c>
      <c r="I65" s="145" t="s">
        <v>85</v>
      </c>
      <c r="J65" s="146"/>
      <c r="K65" s="147">
        <f>ROUNDDOWN(SUM(K48:K64)*$J$1,0)</f>
        <v>127520</v>
      </c>
      <c r="L65" s="142"/>
      <c r="M65" s="141" t="str">
        <f t="shared" si="46"/>
        <v>ｵﾌﾟｼｮﾝ</v>
      </c>
      <c r="N65" s="148"/>
      <c r="O65" s="148"/>
      <c r="P65" s="143"/>
      <c r="Q65" s="143"/>
      <c r="R65" s="142"/>
      <c r="S65" s="144">
        <f t="shared" si="47"/>
        <v>1</v>
      </c>
      <c r="T65" s="141" t="str">
        <f t="shared" si="47"/>
        <v>式</v>
      </c>
      <c r="U65" s="146"/>
      <c r="V65" s="147">
        <f>ROUNDDOWN(SUM(V48:V64)*$J$1,0)</f>
        <v>181710</v>
      </c>
      <c r="W65" s="148">
        <f t="shared" si="50"/>
        <v>0</v>
      </c>
    </row>
    <row r="66" spans="2:23" s="122" customFormat="1" x14ac:dyDescent="0.4">
      <c r="B66" s="128" t="s">
        <v>136</v>
      </c>
      <c r="C66" s="129"/>
      <c r="D66" s="129"/>
      <c r="E66" s="129"/>
      <c r="F66" s="129"/>
      <c r="G66" s="130"/>
      <c r="H66" s="131"/>
      <c r="I66" s="132"/>
      <c r="J66" s="133"/>
      <c r="K66" s="134">
        <f>SUM(K48:K65)</f>
        <v>977656</v>
      </c>
      <c r="L66" s="129" t="s">
        <v>71</v>
      </c>
      <c r="M66" s="135" t="str">
        <f t="shared" si="46"/>
        <v>【オプション価格計】</v>
      </c>
      <c r="N66" s="135"/>
      <c r="O66" s="135"/>
      <c r="P66" s="135">
        <f t="shared" ref="P66" si="51">E66</f>
        <v>0</v>
      </c>
      <c r="Q66" s="135"/>
      <c r="R66" s="135"/>
      <c r="S66" s="131">
        <f t="shared" si="47"/>
        <v>0</v>
      </c>
      <c r="T66" s="135">
        <f t="shared" si="47"/>
        <v>0</v>
      </c>
      <c r="U66" s="133">
        <f t="shared" ref="U66:U68" si="52">ROUNDDOWN(J66*$K$1,0)</f>
        <v>0</v>
      </c>
      <c r="V66" s="134">
        <f>SUM(V48:V65)</f>
        <v>1393114</v>
      </c>
      <c r="W66" s="135" t="str">
        <f t="shared" si="50"/>
        <v>クリア塗装品</v>
      </c>
    </row>
    <row r="67" spans="2:23" x14ac:dyDescent="0.4">
      <c r="B67" s="60" t="s">
        <v>125</v>
      </c>
      <c r="C67" s="60" t="s">
        <v>126</v>
      </c>
      <c r="D67" s="62"/>
      <c r="E67" s="62"/>
      <c r="F67" s="62"/>
      <c r="G67" s="61"/>
      <c r="H67" s="63">
        <v>1</v>
      </c>
      <c r="I67" s="64" t="s">
        <v>85</v>
      </c>
      <c r="J67" s="65">
        <v>0</v>
      </c>
      <c r="K67" s="66">
        <f t="shared" ref="K67:K68" si="53">ROUNDDOWN(H67*J67,0)</f>
        <v>0</v>
      </c>
      <c r="L67" s="61"/>
      <c r="M67" s="60" t="str">
        <f t="shared" si="46"/>
        <v>別途</v>
      </c>
      <c r="N67" s="67" t="str">
        <f t="shared" si="46"/>
        <v>１．運送費</v>
      </c>
      <c r="O67" s="67"/>
      <c r="P67" s="62"/>
      <c r="Q67" s="62"/>
      <c r="R67" s="61"/>
      <c r="S67" s="63">
        <f t="shared" si="47"/>
        <v>1</v>
      </c>
      <c r="T67" s="60" t="str">
        <f t="shared" si="47"/>
        <v>式</v>
      </c>
      <c r="U67" s="65">
        <f t="shared" si="52"/>
        <v>0</v>
      </c>
      <c r="V67" s="66">
        <f t="shared" ref="V67:V69" si="54">ROUNDDOWN(S67*U67,0)</f>
        <v>0</v>
      </c>
      <c r="W67" s="67">
        <f t="shared" si="50"/>
        <v>0</v>
      </c>
    </row>
    <row r="68" spans="2:23" x14ac:dyDescent="0.4">
      <c r="B68" s="60"/>
      <c r="C68" s="60" t="s">
        <v>129</v>
      </c>
      <c r="D68" s="62"/>
      <c r="E68" s="62"/>
      <c r="F68" s="62"/>
      <c r="G68" s="61"/>
      <c r="H68" s="63">
        <v>1</v>
      </c>
      <c r="I68" s="64" t="s">
        <v>85</v>
      </c>
      <c r="J68" s="65">
        <v>0</v>
      </c>
      <c r="K68" s="66">
        <f t="shared" si="53"/>
        <v>0</v>
      </c>
      <c r="L68" s="61"/>
      <c r="M68" s="60">
        <f t="shared" si="46"/>
        <v>0</v>
      </c>
      <c r="N68" s="67" t="str">
        <f t="shared" si="46"/>
        <v>２．設計監理及び確認申請費</v>
      </c>
      <c r="O68" s="67"/>
      <c r="P68" s="62"/>
      <c r="Q68" s="62"/>
      <c r="R68" s="61"/>
      <c r="S68" s="63">
        <f t="shared" si="47"/>
        <v>1</v>
      </c>
      <c r="T68" s="60" t="str">
        <f t="shared" si="47"/>
        <v>式</v>
      </c>
      <c r="U68" s="65">
        <f t="shared" si="52"/>
        <v>0</v>
      </c>
      <c r="V68" s="66">
        <f t="shared" si="54"/>
        <v>0</v>
      </c>
      <c r="W68" s="67">
        <f t="shared" si="50"/>
        <v>0</v>
      </c>
    </row>
    <row r="69" spans="2:23" x14ac:dyDescent="0.4">
      <c r="B69" s="60"/>
      <c r="C69" s="60" t="s">
        <v>127</v>
      </c>
      <c r="D69" s="62"/>
      <c r="E69" s="62"/>
      <c r="F69" s="62"/>
      <c r="G69" s="61"/>
      <c r="H69" s="63">
        <v>1</v>
      </c>
      <c r="I69" s="64" t="s">
        <v>85</v>
      </c>
      <c r="J69" s="65">
        <f t="shared" si="38"/>
        <v>0</v>
      </c>
      <c r="K69" s="66">
        <f>ROUNDDOWN(H69*J69,0)</f>
        <v>0</v>
      </c>
      <c r="L69" s="61"/>
      <c r="M69" s="67">
        <f>B69</f>
        <v>0</v>
      </c>
      <c r="N69" s="67" t="str">
        <f t="shared" si="46"/>
        <v>３．梱包養生</v>
      </c>
      <c r="O69" s="67"/>
      <c r="P69" s="62"/>
      <c r="Q69" s="62"/>
      <c r="R69" s="61"/>
      <c r="S69" s="63">
        <f>H69</f>
        <v>1</v>
      </c>
      <c r="T69" s="67" t="str">
        <f>I69</f>
        <v>式</v>
      </c>
      <c r="U69" s="65">
        <f>ROUNDDOWN(J69*$K$1,0)</f>
        <v>0</v>
      </c>
      <c r="V69" s="66">
        <f>ROUNDDOWN(S69*U69,0)</f>
        <v>0</v>
      </c>
      <c r="W69" s="67">
        <f>L69</f>
        <v>0</v>
      </c>
    </row>
    <row r="70" spans="2:23" x14ac:dyDescent="0.4">
      <c r="B70" s="60"/>
      <c r="C70" s="60" t="s">
        <v>130</v>
      </c>
      <c r="D70" s="62"/>
      <c r="E70" s="62"/>
      <c r="F70" s="62"/>
      <c r="G70" s="61"/>
      <c r="H70" s="63">
        <v>1</v>
      </c>
      <c r="I70" s="64" t="s">
        <v>85</v>
      </c>
      <c r="J70" s="65">
        <f t="shared" si="38"/>
        <v>0</v>
      </c>
      <c r="K70" s="66">
        <f>ROUNDDOWN(H70*J70,0)</f>
        <v>0</v>
      </c>
      <c r="L70" s="61"/>
      <c r="M70" s="67">
        <f>B70</f>
        <v>0</v>
      </c>
      <c r="N70" s="67" t="str">
        <f t="shared" si="46"/>
        <v>４．現場設置工事</v>
      </c>
      <c r="O70" s="67"/>
      <c r="P70" s="62"/>
      <c r="Q70" s="62"/>
      <c r="R70" s="61"/>
      <c r="S70" s="63">
        <f>H70</f>
        <v>1</v>
      </c>
      <c r="T70" s="67" t="str">
        <f>I70</f>
        <v>式</v>
      </c>
      <c r="U70" s="65">
        <f>ROUNDDOWN(J70*$K$1,0)</f>
        <v>0</v>
      </c>
      <c r="V70" s="66">
        <f>ROUNDDOWN(S70*U70,0)</f>
        <v>0</v>
      </c>
      <c r="W70" s="67">
        <f>L70</f>
        <v>0</v>
      </c>
    </row>
    <row r="71" spans="2:23" x14ac:dyDescent="0.4">
      <c r="B71" s="60"/>
      <c r="C71" s="60" t="s">
        <v>131</v>
      </c>
      <c r="D71" s="62"/>
      <c r="E71" s="62" t="s">
        <v>96</v>
      </c>
      <c r="F71" s="62"/>
      <c r="G71" s="61"/>
      <c r="H71" s="63">
        <f>ROUNDUP(1,2)</f>
        <v>1</v>
      </c>
      <c r="I71" s="64" t="s">
        <v>85</v>
      </c>
      <c r="J71" s="65">
        <f>ROUNDDOWN($G$1*0,0)</f>
        <v>0</v>
      </c>
      <c r="K71" s="66">
        <f t="shared" si="0"/>
        <v>0</v>
      </c>
      <c r="L71" s="61" t="s">
        <v>122</v>
      </c>
      <c r="M71" s="67">
        <f t="shared" si="1"/>
        <v>0</v>
      </c>
      <c r="N71" s="67" t="str">
        <f t="shared" si="46"/>
        <v>５．電気設備工事</v>
      </c>
      <c r="O71" s="67"/>
      <c r="P71" s="67" t="str">
        <f t="shared" si="2"/>
        <v>・照明器具含む</v>
      </c>
      <c r="Q71" s="67"/>
      <c r="R71" s="67"/>
      <c r="S71" s="63">
        <f t="shared" si="3"/>
        <v>1</v>
      </c>
      <c r="T71" s="67" t="str">
        <f t="shared" si="3"/>
        <v>式</v>
      </c>
      <c r="U71" s="65">
        <f t="shared" si="4"/>
        <v>0</v>
      </c>
      <c r="V71" s="66">
        <f t="shared" si="5"/>
        <v>0</v>
      </c>
      <c r="W71" s="67" t="str">
        <f t="shared" si="6"/>
        <v>別途工事</v>
      </c>
    </row>
    <row r="72" spans="2:23" x14ac:dyDescent="0.4">
      <c r="B72" s="60"/>
      <c r="C72" s="60" t="s">
        <v>128</v>
      </c>
      <c r="D72" s="62"/>
      <c r="E72" s="62" t="s">
        <v>97</v>
      </c>
      <c r="F72" s="62"/>
      <c r="G72" s="61"/>
      <c r="H72" s="63">
        <f>ROUNDUP(1,2)</f>
        <v>1</v>
      </c>
      <c r="I72" s="64" t="s">
        <v>85</v>
      </c>
      <c r="J72" s="65">
        <f t="shared" si="38"/>
        <v>0</v>
      </c>
      <c r="K72" s="66">
        <f t="shared" si="0"/>
        <v>0</v>
      </c>
      <c r="L72" s="61"/>
      <c r="M72" s="67">
        <f t="shared" si="1"/>
        <v>0</v>
      </c>
      <c r="N72" s="67" t="str">
        <f t="shared" si="46"/>
        <v>６．給排水給湯設備工事</v>
      </c>
      <c r="O72" s="67"/>
      <c r="P72" s="67" t="str">
        <f t="shared" si="2"/>
        <v>・敷地状況によって別途見積</v>
      </c>
      <c r="Q72" s="67"/>
      <c r="R72" s="67"/>
      <c r="S72" s="63">
        <f t="shared" si="3"/>
        <v>1</v>
      </c>
      <c r="T72" s="67" t="str">
        <f t="shared" si="3"/>
        <v>式</v>
      </c>
      <c r="U72" s="65">
        <f t="shared" si="4"/>
        <v>0</v>
      </c>
      <c r="V72" s="66">
        <f t="shared" si="5"/>
        <v>0</v>
      </c>
      <c r="W72" s="67">
        <f t="shared" si="6"/>
        <v>0</v>
      </c>
    </row>
    <row r="73" spans="2:23" x14ac:dyDescent="0.4">
      <c r="B73" s="60"/>
      <c r="C73" s="60" t="s">
        <v>132</v>
      </c>
      <c r="D73" s="62"/>
      <c r="E73" s="62"/>
      <c r="F73" s="62"/>
      <c r="G73" s="61"/>
      <c r="H73" s="63">
        <f>ROUNDUP(1,2)</f>
        <v>1</v>
      </c>
      <c r="I73" s="64" t="s">
        <v>85</v>
      </c>
      <c r="J73" s="65">
        <f t="shared" si="38"/>
        <v>0</v>
      </c>
      <c r="K73" s="66">
        <f t="shared" si="0"/>
        <v>0</v>
      </c>
      <c r="L73" s="61"/>
      <c r="M73" s="67">
        <f t="shared" si="1"/>
        <v>0</v>
      </c>
      <c r="N73" s="67" t="str">
        <f t="shared" si="46"/>
        <v>７．基礎工事（設置後工事）</v>
      </c>
      <c r="O73" s="67"/>
      <c r="P73" s="67">
        <f t="shared" si="2"/>
        <v>0</v>
      </c>
      <c r="Q73" s="67"/>
      <c r="R73" s="67"/>
      <c r="S73" s="63">
        <f t="shared" si="3"/>
        <v>1</v>
      </c>
      <c r="T73" s="67" t="str">
        <f t="shared" si="3"/>
        <v>式</v>
      </c>
      <c r="U73" s="65">
        <f t="shared" si="4"/>
        <v>0</v>
      </c>
      <c r="V73" s="66">
        <f t="shared" si="5"/>
        <v>0</v>
      </c>
      <c r="W73" s="67">
        <f t="shared" si="6"/>
        <v>0</v>
      </c>
    </row>
    <row r="74" spans="2:23" x14ac:dyDescent="0.4">
      <c r="B74" s="60"/>
      <c r="C74" s="60" t="s">
        <v>149</v>
      </c>
      <c r="D74" s="62"/>
      <c r="E74" s="62"/>
      <c r="F74" s="62"/>
      <c r="G74" s="61"/>
      <c r="H74" s="63">
        <f>ROUNDUP(1,2)</f>
        <v>1</v>
      </c>
      <c r="I74" s="64" t="s">
        <v>85</v>
      </c>
      <c r="J74" s="65">
        <f t="shared" si="38"/>
        <v>0</v>
      </c>
      <c r="K74" s="66">
        <f>H74*J74</f>
        <v>0</v>
      </c>
      <c r="L74" s="61" t="s">
        <v>99</v>
      </c>
      <c r="M74" s="60">
        <f t="shared" si="1"/>
        <v>0</v>
      </c>
      <c r="N74" s="67" t="str">
        <f t="shared" si="46"/>
        <v>８．廃材処分費（家庭用ごみは別途料金が発生します）</v>
      </c>
      <c r="O74" s="67"/>
      <c r="P74" s="62"/>
      <c r="Q74" s="62"/>
      <c r="R74" s="61"/>
      <c r="S74" s="63">
        <f t="shared" si="3"/>
        <v>1</v>
      </c>
      <c r="T74" s="60" t="str">
        <f t="shared" si="3"/>
        <v>式</v>
      </c>
      <c r="U74" s="65">
        <f t="shared" si="4"/>
        <v>0</v>
      </c>
      <c r="V74" s="66">
        <f>S74*U74</f>
        <v>0</v>
      </c>
      <c r="W74" s="67" t="str">
        <f t="shared" si="6"/>
        <v>トン袋のみ</v>
      </c>
    </row>
    <row r="75" spans="2:23" x14ac:dyDescent="0.4">
      <c r="B75" s="60"/>
      <c r="C75" s="60" t="s">
        <v>134</v>
      </c>
      <c r="D75" s="62"/>
      <c r="E75" s="62"/>
      <c r="F75" s="62"/>
      <c r="G75" s="61"/>
      <c r="H75" s="63">
        <v>1</v>
      </c>
      <c r="I75" s="64" t="s">
        <v>85</v>
      </c>
      <c r="J75" s="65">
        <f t="shared" si="38"/>
        <v>0</v>
      </c>
      <c r="K75" s="66">
        <f>ROUNDDOWN(SUM(K67:K74)*$J$1,0)</f>
        <v>0</v>
      </c>
      <c r="L75" s="61"/>
      <c r="M75" s="60">
        <f t="shared" si="1"/>
        <v>0</v>
      </c>
      <c r="N75" s="67" t="str">
        <f t="shared" si="46"/>
        <v>９．別途現場諸費用（交通費、労災、安全管理費等）</v>
      </c>
      <c r="O75" s="67"/>
      <c r="P75" s="62"/>
      <c r="Q75" s="62"/>
      <c r="R75" s="61"/>
      <c r="S75" s="63">
        <f t="shared" si="3"/>
        <v>1</v>
      </c>
      <c r="T75" s="60" t="str">
        <f t="shared" si="3"/>
        <v>式</v>
      </c>
      <c r="U75" s="65"/>
      <c r="V75" s="66">
        <f>S75*U75</f>
        <v>0</v>
      </c>
      <c r="W75" s="67">
        <f t="shared" si="6"/>
        <v>0</v>
      </c>
    </row>
    <row r="76" spans="2:23" s="122" customFormat="1" x14ac:dyDescent="0.4">
      <c r="B76" s="149" t="s">
        <v>135</v>
      </c>
      <c r="C76" s="150"/>
      <c r="D76" s="150"/>
      <c r="E76" s="150"/>
      <c r="F76" s="150"/>
      <c r="G76" s="151"/>
      <c r="H76" s="152"/>
      <c r="I76" s="153"/>
      <c r="J76" s="154"/>
      <c r="K76" s="155">
        <f>SUM(K67:K75)</f>
        <v>0</v>
      </c>
      <c r="L76" s="150" t="s">
        <v>71</v>
      </c>
      <c r="M76" s="156" t="str">
        <f t="shared" si="1"/>
        <v>【別途工事計】</v>
      </c>
      <c r="N76" s="156"/>
      <c r="O76" s="156"/>
      <c r="P76" s="156">
        <f t="shared" ref="P76" si="55">E76</f>
        <v>0</v>
      </c>
      <c r="Q76" s="156"/>
      <c r="R76" s="156"/>
      <c r="S76" s="152">
        <f t="shared" ref="S76:T76" si="56">H76</f>
        <v>0</v>
      </c>
      <c r="T76" s="156">
        <f t="shared" si="56"/>
        <v>0</v>
      </c>
      <c r="U76" s="154">
        <f t="shared" ref="U76" si="57">ROUNDDOWN(J76*$K$1,0)</f>
        <v>0</v>
      </c>
      <c r="V76" s="155">
        <f>SUM(V67:V75)</f>
        <v>0</v>
      </c>
      <c r="W76" s="156" t="str">
        <f t="shared" si="6"/>
        <v>クリア塗装品</v>
      </c>
    </row>
    <row r="77" spans="2:23" x14ac:dyDescent="0.4">
      <c r="B77" s="98" t="s">
        <v>159</v>
      </c>
      <c r="C77" s="99"/>
      <c r="D77" s="99"/>
      <c r="E77" s="99"/>
      <c r="F77" s="99"/>
      <c r="G77" s="99"/>
      <c r="H77" s="70" t="s">
        <v>100</v>
      </c>
      <c r="I77" s="71"/>
      <c r="J77" s="72"/>
      <c r="K77" s="73">
        <f>SUM(K47,K66,K76)</f>
        <v>2204821</v>
      </c>
      <c r="L77" s="70" t="s">
        <v>101</v>
      </c>
      <c r="M77" s="137"/>
      <c r="N77" s="138"/>
      <c r="O77" s="138"/>
      <c r="P77" s="138"/>
      <c r="Q77" s="138"/>
      <c r="R77" s="138"/>
      <c r="S77" s="70" t="s">
        <v>100</v>
      </c>
      <c r="T77" s="71"/>
      <c r="U77" s="72"/>
      <c r="V77" s="73">
        <f>SUM(V47,V66,V76)</f>
        <v>3233815</v>
      </c>
      <c r="W77" s="70" t="s">
        <v>101</v>
      </c>
    </row>
    <row r="78" spans="2:23" x14ac:dyDescent="0.4">
      <c r="B78" s="98"/>
      <c r="C78" s="99"/>
      <c r="D78" s="99"/>
      <c r="E78" s="99"/>
      <c r="F78" s="99"/>
      <c r="G78" s="99"/>
      <c r="H78" s="74" t="s">
        <v>102</v>
      </c>
      <c r="I78" s="75"/>
      <c r="J78" s="76"/>
      <c r="K78" s="77">
        <v>-821</v>
      </c>
      <c r="L78" s="76">
        <f>SUM(K77:K78)</f>
        <v>2204000</v>
      </c>
      <c r="M78" s="137"/>
      <c r="N78" s="138"/>
      <c r="O78" s="138"/>
      <c r="P78" s="138"/>
      <c r="Q78" s="138"/>
      <c r="R78" s="138"/>
      <c r="S78" s="166" t="s">
        <v>102</v>
      </c>
      <c r="T78" s="167"/>
      <c r="U78" s="168"/>
      <c r="V78" s="169">
        <v>-815</v>
      </c>
      <c r="W78" s="168">
        <f>SUM(V77:V78)</f>
        <v>3233000</v>
      </c>
    </row>
    <row r="79" spans="2:23" x14ac:dyDescent="0.4">
      <c r="B79" s="98"/>
      <c r="C79" s="99"/>
      <c r="D79" s="99"/>
      <c r="E79" s="99"/>
      <c r="F79" s="99"/>
      <c r="G79" s="99"/>
      <c r="H79" s="78" t="s">
        <v>103</v>
      </c>
      <c r="I79" s="79"/>
      <c r="J79" s="79">
        <v>0.1</v>
      </c>
      <c r="K79" s="80">
        <f>ROUNDDOWN(L78*J79,0)</f>
        <v>220400</v>
      </c>
      <c r="L79" s="61"/>
      <c r="M79" s="137"/>
      <c r="N79" s="138"/>
      <c r="O79" s="138"/>
      <c r="P79" s="138"/>
      <c r="Q79" s="138"/>
      <c r="R79" s="138"/>
      <c r="S79" s="78" t="s">
        <v>103</v>
      </c>
      <c r="T79" s="79"/>
      <c r="U79" s="79">
        <v>0.1</v>
      </c>
      <c r="V79" s="80">
        <f>ROUNDDOWN(W78*U79,0)</f>
        <v>323300</v>
      </c>
      <c r="W79" s="61"/>
    </row>
    <row r="80" spans="2:23" x14ac:dyDescent="0.4">
      <c r="B80" s="98"/>
      <c r="C80" s="99"/>
      <c r="D80" s="99"/>
      <c r="E80" s="99"/>
      <c r="F80" s="99"/>
      <c r="G80" s="99"/>
      <c r="H80" s="81" t="s">
        <v>104</v>
      </c>
      <c r="I80" s="82"/>
      <c r="J80" s="83"/>
      <c r="K80" s="84">
        <f>SUM(L78,K79)</f>
        <v>2424400</v>
      </c>
      <c r="L80" s="85"/>
      <c r="M80" s="137"/>
      <c r="N80" s="138"/>
      <c r="O80" s="138"/>
      <c r="P80" s="138"/>
      <c r="Q80" s="138"/>
      <c r="R80" s="138"/>
      <c r="S80" s="161" t="s">
        <v>104</v>
      </c>
      <c r="T80" s="162"/>
      <c r="U80" s="163"/>
      <c r="V80" s="164">
        <f>SUM(W78,V79)</f>
        <v>3556300</v>
      </c>
      <c r="W80" s="165"/>
    </row>
    <row r="81" spans="2:23" ht="18" customHeight="1" x14ac:dyDescent="0.4">
      <c r="B81" s="98"/>
      <c r="C81" s="99"/>
      <c r="D81" s="99"/>
      <c r="E81" s="99"/>
      <c r="F81" s="99"/>
      <c r="G81" s="99"/>
      <c r="H81" s="92"/>
      <c r="I81" s="92"/>
      <c r="J81" s="93"/>
      <c r="K81" s="93"/>
      <c r="L81" s="94"/>
      <c r="M81" s="137"/>
      <c r="N81" s="138"/>
      <c r="O81" s="138"/>
      <c r="P81" s="138"/>
      <c r="Q81" s="138"/>
      <c r="R81" s="138"/>
      <c r="S81" s="136"/>
      <c r="T81" s="136"/>
      <c r="U81" s="97"/>
      <c r="V81" s="93"/>
      <c r="W81" s="94"/>
    </row>
    <row r="82" spans="2:23" ht="18" customHeight="1" x14ac:dyDescent="0.4">
      <c r="B82" s="98"/>
      <c r="C82" s="99"/>
      <c r="D82" s="99"/>
      <c r="E82" s="99"/>
      <c r="F82" s="99"/>
      <c r="G82" s="99"/>
      <c r="H82" s="99"/>
      <c r="I82" s="99"/>
      <c r="J82" s="100"/>
      <c r="K82" s="100"/>
      <c r="L82" s="101"/>
      <c r="M82" s="137"/>
      <c r="N82" s="138"/>
      <c r="O82" s="138"/>
      <c r="P82" s="138"/>
      <c r="Q82" s="138"/>
      <c r="R82" s="138"/>
      <c r="S82" s="138"/>
      <c r="T82" s="138"/>
      <c r="U82" s="104"/>
      <c r="V82" s="100"/>
      <c r="W82" s="101"/>
    </row>
    <row r="83" spans="2:23" ht="18" customHeight="1" x14ac:dyDescent="0.4">
      <c r="B83" s="98"/>
      <c r="C83" s="99"/>
      <c r="D83" s="99"/>
      <c r="E83" s="99"/>
      <c r="F83" s="99"/>
      <c r="G83" s="99"/>
      <c r="H83" s="99"/>
      <c r="I83" s="99"/>
      <c r="J83" s="100"/>
      <c r="K83" s="100"/>
      <c r="L83" s="101"/>
      <c r="M83" s="137"/>
      <c r="N83" s="138"/>
      <c r="O83" s="138"/>
      <c r="P83" s="138"/>
      <c r="Q83" s="138"/>
      <c r="R83" s="138"/>
      <c r="S83" s="138"/>
      <c r="T83" s="138"/>
      <c r="U83" s="104"/>
      <c r="V83" s="100"/>
      <c r="W83" s="101"/>
    </row>
    <row r="84" spans="2:23" ht="18" customHeight="1" x14ac:dyDescent="0.4">
      <c r="B84" s="98"/>
      <c r="C84" s="99"/>
      <c r="D84" s="99"/>
      <c r="E84" s="99"/>
      <c r="F84" s="99"/>
      <c r="G84" s="99"/>
      <c r="H84" s="99"/>
      <c r="I84" s="99"/>
      <c r="J84" s="100"/>
      <c r="K84" s="100"/>
      <c r="L84" s="101"/>
      <c r="M84" s="137"/>
      <c r="N84" s="138"/>
      <c r="O84" s="138"/>
      <c r="P84" s="138"/>
      <c r="Q84" s="138"/>
      <c r="R84" s="138"/>
      <c r="S84" s="138"/>
      <c r="T84" s="138"/>
      <c r="U84" s="104"/>
      <c r="V84" s="100"/>
      <c r="W84" s="101"/>
    </row>
    <row r="85" spans="2:23" ht="18" customHeight="1" x14ac:dyDescent="0.4">
      <c r="B85" s="98"/>
      <c r="C85" s="99"/>
      <c r="D85" s="99"/>
      <c r="E85" s="99"/>
      <c r="F85" s="99"/>
      <c r="G85" s="99"/>
      <c r="H85" s="99"/>
      <c r="I85" s="99"/>
      <c r="J85" s="100"/>
      <c r="K85" s="100"/>
      <c r="L85" s="101"/>
      <c r="M85" s="137"/>
      <c r="N85" s="138"/>
      <c r="O85" s="138"/>
      <c r="P85" s="138"/>
      <c r="Q85" s="138"/>
      <c r="R85" s="138"/>
      <c r="S85" s="138"/>
      <c r="T85" s="138"/>
      <c r="U85" s="104"/>
      <c r="V85" s="100"/>
      <c r="W85" s="101"/>
    </row>
    <row r="86" spans="2:23" ht="18" customHeight="1" x14ac:dyDescent="0.4">
      <c r="B86" s="98"/>
      <c r="C86" s="99"/>
      <c r="D86" s="99"/>
      <c r="E86" s="99"/>
      <c r="F86" s="99"/>
      <c r="G86" s="99"/>
      <c r="H86" s="99"/>
      <c r="I86" s="99"/>
      <c r="J86" s="100"/>
      <c r="K86" s="100"/>
      <c r="L86" s="101"/>
      <c r="M86" s="137"/>
      <c r="N86" s="138"/>
      <c r="O86" s="138"/>
      <c r="P86" s="138"/>
      <c r="Q86" s="138"/>
      <c r="R86" s="138"/>
      <c r="S86" s="138"/>
      <c r="T86" s="138"/>
      <c r="U86" s="104"/>
      <c r="V86" s="100"/>
      <c r="W86" s="101"/>
    </row>
    <row r="87" spans="2:23" ht="18" customHeight="1" x14ac:dyDescent="0.4">
      <c r="B87" s="98"/>
      <c r="C87" s="99"/>
      <c r="D87" s="99"/>
      <c r="E87" s="99"/>
      <c r="F87" s="99"/>
      <c r="G87" s="99"/>
      <c r="H87" s="99"/>
      <c r="I87" s="99"/>
      <c r="J87" s="100"/>
      <c r="K87" s="100"/>
      <c r="L87" s="101"/>
      <c r="M87" s="137"/>
      <c r="N87" s="138"/>
      <c r="O87" s="138"/>
      <c r="P87" s="138"/>
      <c r="Q87" s="138"/>
      <c r="R87" s="138"/>
      <c r="S87" s="138"/>
      <c r="T87" s="138"/>
      <c r="U87" s="104"/>
      <c r="V87" s="100"/>
      <c r="W87" s="101"/>
    </row>
    <row r="88" spans="2:23" ht="18" customHeight="1" x14ac:dyDescent="0.4">
      <c r="B88" s="98"/>
      <c r="C88" s="99"/>
      <c r="D88" s="99"/>
      <c r="E88" s="99"/>
      <c r="F88" s="99"/>
      <c r="G88" s="99"/>
      <c r="H88" s="99"/>
      <c r="I88" s="99"/>
      <c r="J88" s="100"/>
      <c r="K88" s="100"/>
      <c r="L88" s="101"/>
      <c r="M88" s="137"/>
      <c r="N88" s="138"/>
      <c r="O88" s="138"/>
      <c r="P88" s="138"/>
      <c r="Q88" s="138"/>
      <c r="R88" s="138"/>
      <c r="S88" s="138"/>
      <c r="T88" s="138"/>
      <c r="U88" s="104"/>
      <c r="V88" s="100"/>
      <c r="W88" s="101"/>
    </row>
    <row r="89" spans="2:23" ht="18" customHeight="1" x14ac:dyDescent="0.4">
      <c r="B89" s="98"/>
      <c r="C89" s="99"/>
      <c r="D89" s="99"/>
      <c r="E89" s="99"/>
      <c r="F89" s="99"/>
      <c r="G89" s="99"/>
      <c r="H89" s="99"/>
      <c r="I89" s="99"/>
      <c r="J89" s="100"/>
      <c r="K89" s="100"/>
      <c r="L89" s="101"/>
      <c r="M89" s="137"/>
      <c r="N89" s="138"/>
      <c r="O89" s="138"/>
      <c r="P89" s="138"/>
      <c r="Q89" s="138"/>
      <c r="R89" s="138"/>
      <c r="S89" s="138"/>
      <c r="T89" s="138"/>
      <c r="U89" s="104"/>
      <c r="V89" s="100"/>
      <c r="W89" s="101"/>
    </row>
    <row r="90" spans="2:23" ht="18" customHeight="1" x14ac:dyDescent="0.4">
      <c r="B90" s="98"/>
      <c r="C90" s="99"/>
      <c r="D90" s="99"/>
      <c r="E90" s="99"/>
      <c r="F90" s="99"/>
      <c r="G90" s="99"/>
      <c r="H90" s="99"/>
      <c r="I90" s="99"/>
      <c r="J90" s="100"/>
      <c r="K90" s="100"/>
      <c r="L90" s="101"/>
      <c r="M90" s="137"/>
      <c r="N90" s="138"/>
      <c r="O90" s="138"/>
      <c r="P90" s="138"/>
      <c r="Q90" s="138"/>
      <c r="R90" s="138"/>
      <c r="S90" s="138"/>
      <c r="T90" s="138"/>
      <c r="U90" s="104"/>
      <c r="V90" s="100"/>
      <c r="W90" s="101"/>
    </row>
    <row r="91" spans="2:23" ht="18" customHeight="1" x14ac:dyDescent="0.4">
      <c r="B91" s="98"/>
      <c r="C91" s="99"/>
      <c r="D91" s="99"/>
      <c r="E91" s="99"/>
      <c r="F91" s="99"/>
      <c r="G91" s="99"/>
      <c r="H91" s="99"/>
      <c r="I91" s="99"/>
      <c r="J91" s="100"/>
      <c r="K91" s="100"/>
      <c r="L91" s="101"/>
      <c r="M91" s="137"/>
      <c r="N91" s="138"/>
      <c r="O91" s="138"/>
      <c r="P91" s="138"/>
      <c r="Q91" s="138"/>
      <c r="R91" s="138"/>
      <c r="S91" s="138"/>
      <c r="T91" s="138"/>
      <c r="U91" s="104"/>
      <c r="V91" s="100"/>
      <c r="W91" s="101"/>
    </row>
    <row r="92" spans="2:23" ht="18" customHeight="1" x14ac:dyDescent="0.4">
      <c r="B92" s="98"/>
      <c r="C92" s="99"/>
      <c r="D92" s="99"/>
      <c r="E92" s="99"/>
      <c r="F92" s="99"/>
      <c r="G92" s="99"/>
      <c r="H92" s="99"/>
      <c r="I92" s="99"/>
      <c r="J92" s="100"/>
      <c r="K92" s="100"/>
      <c r="L92" s="101"/>
      <c r="M92" s="137"/>
      <c r="N92" s="138"/>
      <c r="O92" s="138"/>
      <c r="P92" s="138"/>
      <c r="Q92" s="138"/>
      <c r="R92" s="138"/>
      <c r="S92" s="138"/>
      <c r="T92" s="138"/>
      <c r="U92" s="104"/>
      <c r="V92" s="100"/>
      <c r="W92" s="101"/>
    </row>
    <row r="93" spans="2:23" ht="18" customHeight="1" x14ac:dyDescent="0.4">
      <c r="B93" s="98"/>
      <c r="C93" s="99"/>
      <c r="D93" s="99"/>
      <c r="E93" s="99"/>
      <c r="F93" s="99"/>
      <c r="G93" s="99"/>
      <c r="H93" s="99"/>
      <c r="I93" s="99"/>
      <c r="J93" s="100"/>
      <c r="K93" s="100"/>
      <c r="L93" s="101"/>
      <c r="M93" s="137"/>
      <c r="N93" s="138"/>
      <c r="O93" s="138"/>
      <c r="P93" s="138"/>
      <c r="Q93" s="138"/>
      <c r="R93" s="138"/>
      <c r="S93" s="138"/>
      <c r="T93" s="138"/>
      <c r="U93" s="104"/>
      <c r="V93" s="100"/>
      <c r="W93" s="101"/>
    </row>
    <row r="94" spans="2:23" ht="18" customHeight="1" x14ac:dyDescent="0.4">
      <c r="B94" s="98"/>
      <c r="C94" s="99"/>
      <c r="D94" s="99"/>
      <c r="E94" s="99"/>
      <c r="F94" s="99"/>
      <c r="G94" s="99"/>
      <c r="H94" s="99"/>
      <c r="I94" s="99"/>
      <c r="J94" s="100"/>
      <c r="K94" s="100"/>
      <c r="L94" s="101"/>
      <c r="M94" s="137"/>
      <c r="N94" s="138"/>
      <c r="O94" s="138"/>
      <c r="P94" s="138"/>
      <c r="Q94" s="138"/>
      <c r="R94" s="138"/>
      <c r="S94" s="138"/>
      <c r="T94" s="138"/>
      <c r="U94" s="104"/>
      <c r="V94" s="100"/>
      <c r="W94" s="101"/>
    </row>
    <row r="95" spans="2:23" ht="18" customHeight="1" x14ac:dyDescent="0.4">
      <c r="B95" s="98"/>
      <c r="C95" s="99"/>
      <c r="D95" s="99"/>
      <c r="E95" s="99"/>
      <c r="F95" s="99"/>
      <c r="G95" s="99"/>
      <c r="H95" s="99"/>
      <c r="I95" s="99"/>
      <c r="J95" s="100"/>
      <c r="K95" s="100"/>
      <c r="L95" s="101"/>
      <c r="M95" s="137"/>
      <c r="N95" s="138"/>
      <c r="O95" s="138"/>
      <c r="P95" s="138"/>
      <c r="Q95" s="138"/>
      <c r="R95" s="138"/>
      <c r="S95" s="138"/>
      <c r="T95" s="138"/>
      <c r="U95" s="104"/>
      <c r="V95" s="100"/>
      <c r="W95" s="101"/>
    </row>
    <row r="96" spans="2:23" ht="18" customHeight="1" x14ac:dyDescent="0.4">
      <c r="B96" s="98"/>
      <c r="C96" s="99"/>
      <c r="D96" s="99"/>
      <c r="E96" s="99"/>
      <c r="F96" s="99"/>
      <c r="G96" s="99"/>
      <c r="H96" s="99"/>
      <c r="I96" s="99"/>
      <c r="J96" s="100"/>
      <c r="K96" s="100"/>
      <c r="L96" s="101"/>
      <c r="M96" s="137"/>
      <c r="N96" s="138"/>
      <c r="O96" s="138"/>
      <c r="P96" s="138"/>
      <c r="Q96" s="138"/>
      <c r="R96" s="138"/>
      <c r="S96" s="138"/>
      <c r="T96" s="138"/>
      <c r="U96" s="104"/>
      <c r="V96" s="100"/>
      <c r="W96" s="101"/>
    </row>
    <row r="97" spans="2:23" ht="18" customHeight="1" x14ac:dyDescent="0.4">
      <c r="B97" s="98"/>
      <c r="C97" s="99"/>
      <c r="D97" s="99"/>
      <c r="E97" s="99"/>
      <c r="F97" s="99"/>
      <c r="G97" s="99"/>
      <c r="H97" s="99"/>
      <c r="I97" s="99"/>
      <c r="J97" s="100"/>
      <c r="K97" s="100"/>
      <c r="L97" s="101"/>
      <c r="M97" s="137"/>
      <c r="N97" s="138"/>
      <c r="O97" s="138"/>
      <c r="P97" s="138"/>
      <c r="Q97" s="138"/>
      <c r="R97" s="138"/>
      <c r="S97" s="138"/>
      <c r="T97" s="138"/>
      <c r="U97" s="104"/>
      <c r="V97" s="100"/>
      <c r="W97" s="101"/>
    </row>
    <row r="98" spans="2:23" ht="18" customHeight="1" x14ac:dyDescent="0.4">
      <c r="B98" s="98"/>
      <c r="C98" s="99"/>
      <c r="D98" s="99"/>
      <c r="E98" s="99"/>
      <c r="F98" s="99"/>
      <c r="G98" s="99"/>
      <c r="H98" s="99"/>
      <c r="I98" s="99"/>
      <c r="J98" s="100"/>
      <c r="K98" s="100"/>
      <c r="L98" s="101"/>
      <c r="M98" s="137"/>
      <c r="N98" s="138"/>
      <c r="O98" s="138"/>
      <c r="P98" s="138"/>
      <c r="Q98" s="138"/>
      <c r="R98" s="138"/>
      <c r="S98" s="138"/>
      <c r="T98" s="138"/>
      <c r="U98" s="104"/>
      <c r="V98" s="100"/>
      <c r="W98" s="101"/>
    </row>
    <row r="99" spans="2:23" ht="18" customHeight="1" x14ac:dyDescent="0.4">
      <c r="B99" s="98"/>
      <c r="C99" s="99"/>
      <c r="D99" s="99"/>
      <c r="E99" s="99"/>
      <c r="F99" s="99"/>
      <c r="G99" s="99"/>
      <c r="H99" s="99"/>
      <c r="I99" s="99"/>
      <c r="J99" s="100"/>
      <c r="K99" s="100"/>
      <c r="L99" s="101"/>
      <c r="M99" s="137"/>
      <c r="N99" s="138"/>
      <c r="O99" s="138"/>
      <c r="P99" s="138"/>
      <c r="Q99" s="138"/>
      <c r="R99" s="138"/>
      <c r="S99" s="138"/>
      <c r="T99" s="138"/>
      <c r="U99" s="104"/>
      <c r="V99" s="100"/>
      <c r="W99" s="101"/>
    </row>
    <row r="100" spans="2:23" ht="18" customHeight="1" x14ac:dyDescent="0.4">
      <c r="B100" s="98"/>
      <c r="C100" s="99"/>
      <c r="D100" s="99"/>
      <c r="E100" s="99"/>
      <c r="F100" s="99"/>
      <c r="G100" s="99"/>
      <c r="H100" s="99"/>
      <c r="I100" s="99"/>
      <c r="J100" s="100"/>
      <c r="K100" s="100"/>
      <c r="L100" s="101"/>
      <c r="M100" s="137"/>
      <c r="N100" s="138"/>
      <c r="O100" s="138"/>
      <c r="P100" s="138"/>
      <c r="Q100" s="138"/>
      <c r="R100" s="138"/>
      <c r="S100" s="138"/>
      <c r="T100" s="138"/>
      <c r="U100" s="104"/>
      <c r="V100" s="100"/>
      <c r="W100" s="101"/>
    </row>
    <row r="101" spans="2:23" ht="18" customHeight="1" x14ac:dyDescent="0.4">
      <c r="B101" s="98"/>
      <c r="C101" s="99"/>
      <c r="D101" s="99"/>
      <c r="E101" s="99"/>
      <c r="F101" s="99"/>
      <c r="G101" s="99"/>
      <c r="H101" s="99"/>
      <c r="I101" s="99"/>
      <c r="J101" s="100"/>
      <c r="K101" s="100"/>
      <c r="L101" s="101"/>
      <c r="M101" s="137"/>
      <c r="N101" s="138"/>
      <c r="O101" s="138"/>
      <c r="P101" s="138"/>
      <c r="Q101" s="138"/>
      <c r="R101" s="138"/>
      <c r="S101" s="138"/>
      <c r="T101" s="138"/>
      <c r="U101" s="104"/>
      <c r="V101" s="100"/>
      <c r="W101" s="101"/>
    </row>
    <row r="102" spans="2:23" ht="18" customHeight="1" x14ac:dyDescent="0.4">
      <c r="B102" s="105"/>
      <c r="C102" s="106"/>
      <c r="D102" s="106"/>
      <c r="E102" s="106"/>
      <c r="F102" s="106"/>
      <c r="G102" s="106"/>
      <c r="H102" s="106"/>
      <c r="I102" s="106"/>
      <c r="J102" s="107"/>
      <c r="K102" s="107"/>
      <c r="L102" s="108"/>
      <c r="M102" s="139"/>
      <c r="N102" s="140"/>
      <c r="O102" s="140"/>
      <c r="P102" s="140"/>
      <c r="Q102" s="140"/>
      <c r="R102" s="140"/>
      <c r="S102" s="140"/>
      <c r="T102" s="140"/>
      <c r="U102" s="111"/>
      <c r="V102" s="107"/>
      <c r="W102" s="108"/>
    </row>
    <row r="103" spans="2:23" ht="18" customHeight="1" x14ac:dyDescent="0.4">
      <c r="B103" s="86"/>
      <c r="C103" s="87"/>
      <c r="D103" s="87"/>
      <c r="E103" s="87"/>
      <c r="F103" s="87"/>
      <c r="G103" s="87"/>
      <c r="H103" s="87"/>
      <c r="I103" s="87"/>
      <c r="J103" s="88"/>
      <c r="K103" s="87"/>
      <c r="L103" s="89"/>
      <c r="M103" s="90"/>
      <c r="N103" s="87"/>
      <c r="O103" s="87"/>
      <c r="P103" s="87"/>
      <c r="Q103" s="87"/>
      <c r="R103" s="87"/>
      <c r="S103" s="87"/>
      <c r="T103" s="87"/>
      <c r="U103" s="88"/>
      <c r="V103" s="87"/>
      <c r="W103" s="89"/>
    </row>
    <row r="104" spans="2:23" ht="18" customHeight="1" x14ac:dyDescent="0.4">
      <c r="B104" s="91"/>
      <c r="C104" s="92"/>
      <c r="D104" s="92"/>
      <c r="E104" s="92"/>
      <c r="F104" s="92"/>
      <c r="G104" s="92"/>
      <c r="H104" s="92"/>
      <c r="I104" s="92"/>
      <c r="J104" s="93"/>
      <c r="K104" s="93"/>
      <c r="L104" s="94"/>
      <c r="M104" s="95"/>
      <c r="N104" s="96"/>
      <c r="O104" s="96"/>
      <c r="P104" s="96"/>
      <c r="Q104" s="96"/>
      <c r="R104" s="96"/>
      <c r="S104" s="96"/>
      <c r="T104" s="96"/>
      <c r="U104" s="97"/>
      <c r="V104" s="93"/>
      <c r="W104" s="94"/>
    </row>
    <row r="105" spans="2:23" ht="18" customHeight="1" x14ac:dyDescent="0.4">
      <c r="B105" s="98"/>
      <c r="C105" s="99"/>
      <c r="D105" s="99"/>
      <c r="E105" s="99"/>
      <c r="F105" s="99"/>
      <c r="G105" s="99"/>
      <c r="H105" s="99"/>
      <c r="I105" s="99"/>
      <c r="J105" s="100"/>
      <c r="K105" s="100"/>
      <c r="L105" s="101"/>
      <c r="M105" s="102"/>
      <c r="N105" s="103"/>
      <c r="O105" s="103"/>
      <c r="P105" s="103"/>
      <c r="Q105" s="103"/>
      <c r="R105" s="103"/>
      <c r="S105" s="103"/>
      <c r="T105" s="103"/>
      <c r="U105" s="104"/>
      <c r="V105" s="100"/>
      <c r="W105" s="101"/>
    </row>
    <row r="106" spans="2:23" ht="18" customHeight="1" x14ac:dyDescent="0.4">
      <c r="B106" s="98"/>
      <c r="C106" s="99"/>
      <c r="D106" s="99"/>
      <c r="E106" s="99"/>
      <c r="F106" s="99"/>
      <c r="G106" s="99"/>
      <c r="H106" s="99"/>
      <c r="I106" s="99"/>
      <c r="J106" s="100"/>
      <c r="K106" s="100"/>
      <c r="L106" s="101"/>
      <c r="M106" s="102"/>
      <c r="N106" s="103"/>
      <c r="O106" s="103"/>
      <c r="P106" s="103"/>
      <c r="Q106" s="103"/>
      <c r="R106" s="103"/>
      <c r="S106" s="103"/>
      <c r="T106" s="103"/>
      <c r="U106" s="104"/>
      <c r="V106" s="100"/>
      <c r="W106" s="101"/>
    </row>
    <row r="107" spans="2:23" ht="18" customHeight="1" x14ac:dyDescent="0.4">
      <c r="B107" s="98"/>
      <c r="C107" s="99"/>
      <c r="D107" s="99"/>
      <c r="E107" s="99"/>
      <c r="F107" s="99"/>
      <c r="G107" s="99"/>
      <c r="H107" s="99"/>
      <c r="I107" s="99"/>
      <c r="J107" s="100"/>
      <c r="K107" s="100"/>
      <c r="L107" s="101"/>
      <c r="M107" s="102"/>
      <c r="N107" s="103"/>
      <c r="O107" s="103"/>
      <c r="P107" s="103"/>
      <c r="Q107" s="103"/>
      <c r="R107" s="103"/>
      <c r="S107" s="103"/>
      <c r="T107" s="103"/>
      <c r="U107" s="104"/>
      <c r="V107" s="100"/>
      <c r="W107" s="101"/>
    </row>
    <row r="108" spans="2:23" ht="18" customHeight="1" x14ac:dyDescent="0.4">
      <c r="B108" s="98"/>
      <c r="C108" s="99"/>
      <c r="D108" s="99"/>
      <c r="E108" s="99"/>
      <c r="F108" s="99"/>
      <c r="G108" s="99"/>
      <c r="H108" s="99"/>
      <c r="I108" s="99"/>
      <c r="J108" s="100"/>
      <c r="K108" s="100"/>
      <c r="L108" s="101"/>
      <c r="M108" s="102"/>
      <c r="N108" s="103"/>
      <c r="O108" s="103"/>
      <c r="P108" s="103"/>
      <c r="Q108" s="103"/>
      <c r="R108" s="103"/>
      <c r="S108" s="103"/>
      <c r="T108" s="103"/>
      <c r="U108" s="104"/>
      <c r="V108" s="100"/>
      <c r="W108" s="101"/>
    </row>
    <row r="109" spans="2:23" ht="18" customHeight="1" x14ac:dyDescent="0.4">
      <c r="B109" s="98"/>
      <c r="C109" s="99"/>
      <c r="D109" s="99"/>
      <c r="E109" s="99"/>
      <c r="F109" s="99"/>
      <c r="G109" s="99"/>
      <c r="H109" s="99"/>
      <c r="I109" s="99"/>
      <c r="J109" s="100"/>
      <c r="K109" s="100"/>
      <c r="L109" s="101"/>
      <c r="M109" s="102"/>
      <c r="N109" s="103"/>
      <c r="O109" s="103"/>
      <c r="P109" s="103"/>
      <c r="Q109" s="103"/>
      <c r="R109" s="103"/>
      <c r="S109" s="103"/>
      <c r="T109" s="103"/>
      <c r="U109" s="104"/>
      <c r="V109" s="100"/>
      <c r="W109" s="101"/>
    </row>
    <row r="110" spans="2:23" ht="18" customHeight="1" x14ac:dyDescent="0.4">
      <c r="B110" s="98"/>
      <c r="C110" s="99"/>
      <c r="D110" s="99"/>
      <c r="E110" s="99"/>
      <c r="F110" s="99"/>
      <c r="G110" s="99"/>
      <c r="H110" s="99"/>
      <c r="I110" s="99"/>
      <c r="J110" s="100"/>
      <c r="K110" s="100"/>
      <c r="L110" s="101"/>
      <c r="M110" s="102"/>
      <c r="N110" s="103"/>
      <c r="O110" s="103"/>
      <c r="P110" s="103"/>
      <c r="Q110" s="103"/>
      <c r="R110" s="103"/>
      <c r="S110" s="103"/>
      <c r="T110" s="103"/>
      <c r="U110" s="104"/>
      <c r="V110" s="100"/>
      <c r="W110" s="101"/>
    </row>
    <row r="111" spans="2:23" ht="18" customHeight="1" x14ac:dyDescent="0.4">
      <c r="B111" s="98"/>
      <c r="C111" s="99"/>
      <c r="D111" s="99"/>
      <c r="E111" s="99"/>
      <c r="F111" s="99"/>
      <c r="G111" s="99"/>
      <c r="H111" s="99"/>
      <c r="I111" s="99"/>
      <c r="J111" s="100"/>
      <c r="K111" s="100"/>
      <c r="L111" s="101"/>
      <c r="M111" s="102"/>
      <c r="N111" s="103"/>
      <c r="O111" s="103"/>
      <c r="P111" s="103"/>
      <c r="Q111" s="103"/>
      <c r="R111" s="103"/>
      <c r="S111" s="103"/>
      <c r="T111" s="103"/>
      <c r="U111" s="104"/>
      <c r="V111" s="100"/>
      <c r="W111" s="101"/>
    </row>
    <row r="112" spans="2:23" ht="18" customHeight="1" x14ac:dyDescent="0.4">
      <c r="B112" s="98"/>
      <c r="C112" s="99"/>
      <c r="D112" s="99"/>
      <c r="E112" s="99"/>
      <c r="F112" s="99"/>
      <c r="G112" s="99"/>
      <c r="H112" s="99"/>
      <c r="I112" s="99"/>
      <c r="J112" s="100"/>
      <c r="K112" s="100"/>
      <c r="L112" s="101"/>
      <c r="M112" s="102"/>
      <c r="N112" s="103"/>
      <c r="O112" s="103"/>
      <c r="P112" s="103"/>
      <c r="Q112" s="103"/>
      <c r="R112" s="103"/>
      <c r="S112" s="103"/>
      <c r="T112" s="103"/>
      <c r="U112" s="104"/>
      <c r="V112" s="100"/>
      <c r="W112" s="101"/>
    </row>
    <row r="113" spans="2:23" ht="18" customHeight="1" x14ac:dyDescent="0.4">
      <c r="B113" s="105"/>
      <c r="C113" s="106"/>
      <c r="D113" s="106"/>
      <c r="E113" s="106"/>
      <c r="F113" s="106"/>
      <c r="G113" s="106"/>
      <c r="H113" s="106"/>
      <c r="I113" s="106"/>
      <c r="J113" s="107"/>
      <c r="K113" s="107"/>
      <c r="L113" s="108"/>
      <c r="M113" s="109"/>
      <c r="N113" s="110"/>
      <c r="O113" s="110"/>
      <c r="P113" s="110"/>
      <c r="Q113" s="110"/>
      <c r="R113" s="110"/>
      <c r="S113" s="110"/>
      <c r="T113" s="110"/>
      <c r="U113" s="111"/>
      <c r="V113" s="107"/>
      <c r="W113" s="108"/>
    </row>
    <row r="114" spans="2:23" ht="18" customHeight="1" x14ac:dyDescent="0.4">
      <c r="B114" s="86"/>
      <c r="C114" s="87"/>
      <c r="D114" s="87"/>
      <c r="E114" s="87"/>
      <c r="F114" s="87"/>
      <c r="G114" s="87"/>
      <c r="H114" s="87"/>
      <c r="I114" s="87"/>
      <c r="J114" s="88"/>
      <c r="K114" s="87"/>
      <c r="L114" s="89"/>
      <c r="M114" s="90"/>
      <c r="N114" s="87"/>
      <c r="O114" s="87"/>
      <c r="P114" s="87"/>
      <c r="Q114" s="87"/>
      <c r="R114" s="87"/>
      <c r="S114" s="87"/>
      <c r="T114" s="87"/>
      <c r="U114" s="88"/>
      <c r="V114" s="87"/>
      <c r="W114" s="89"/>
    </row>
    <row r="115" spans="2:23" ht="18" customHeight="1" x14ac:dyDescent="0.4">
      <c r="B115" s="91"/>
      <c r="C115" s="92"/>
      <c r="D115" s="92"/>
      <c r="E115" s="92"/>
      <c r="F115" s="92"/>
      <c r="G115" s="92"/>
      <c r="H115" s="92"/>
      <c r="I115" s="92"/>
      <c r="J115" s="93"/>
      <c r="K115" s="93"/>
      <c r="L115" s="94"/>
      <c r="M115" s="95"/>
      <c r="N115" s="96"/>
      <c r="O115" s="96"/>
      <c r="P115" s="96"/>
      <c r="Q115" s="96"/>
      <c r="R115" s="96"/>
      <c r="S115" s="96"/>
      <c r="T115" s="96"/>
      <c r="U115" s="97"/>
      <c r="V115" s="93"/>
      <c r="W115" s="94"/>
    </row>
    <row r="116" spans="2:23" ht="18" customHeight="1" x14ac:dyDescent="0.4">
      <c r="B116" s="98"/>
      <c r="C116" s="99"/>
      <c r="D116" s="99"/>
      <c r="E116" s="99"/>
      <c r="F116" s="99"/>
      <c r="G116" s="99"/>
      <c r="H116" s="99"/>
      <c r="I116" s="99"/>
      <c r="J116" s="100"/>
      <c r="K116" s="100"/>
      <c r="L116" s="101"/>
      <c r="M116" s="102"/>
      <c r="N116" s="103"/>
      <c r="O116" s="103"/>
      <c r="P116" s="103"/>
      <c r="Q116" s="103"/>
      <c r="R116" s="103"/>
      <c r="S116" s="103"/>
      <c r="T116" s="103"/>
      <c r="U116" s="104"/>
      <c r="V116" s="100"/>
      <c r="W116" s="101"/>
    </row>
    <row r="117" spans="2:23" ht="18" customHeight="1" x14ac:dyDescent="0.4">
      <c r="B117" s="98"/>
      <c r="C117" s="99"/>
      <c r="D117" s="99"/>
      <c r="E117" s="99"/>
      <c r="F117" s="99"/>
      <c r="G117" s="99"/>
      <c r="H117" s="99"/>
      <c r="I117" s="99"/>
      <c r="J117" s="100"/>
      <c r="K117" s="100"/>
      <c r="L117" s="101"/>
      <c r="M117" s="102"/>
      <c r="N117" s="103"/>
      <c r="O117" s="103"/>
      <c r="P117" s="103"/>
      <c r="Q117" s="103"/>
      <c r="R117" s="103"/>
      <c r="S117" s="103"/>
      <c r="T117" s="103"/>
      <c r="U117" s="104"/>
      <c r="V117" s="100"/>
      <c r="W117" s="101"/>
    </row>
    <row r="118" spans="2:23" ht="18" customHeight="1" x14ac:dyDescent="0.4">
      <c r="B118" s="98"/>
      <c r="C118" s="99"/>
      <c r="D118" s="99"/>
      <c r="E118" s="99"/>
      <c r="F118" s="99"/>
      <c r="G118" s="99"/>
      <c r="H118" s="99"/>
      <c r="I118" s="99"/>
      <c r="J118" s="100"/>
      <c r="K118" s="100"/>
      <c r="L118" s="101"/>
      <c r="M118" s="102"/>
      <c r="N118" s="103"/>
      <c r="O118" s="103"/>
      <c r="P118" s="103"/>
      <c r="Q118" s="103"/>
      <c r="R118" s="103"/>
      <c r="S118" s="103"/>
      <c r="T118" s="103"/>
      <c r="U118" s="104"/>
      <c r="V118" s="100"/>
      <c r="W118" s="101"/>
    </row>
    <row r="119" spans="2:23" ht="18" customHeight="1" x14ac:dyDescent="0.4">
      <c r="B119" s="98"/>
      <c r="C119" s="99"/>
      <c r="D119" s="99"/>
      <c r="E119" s="99"/>
      <c r="F119" s="99"/>
      <c r="G119" s="99"/>
      <c r="H119" s="99"/>
      <c r="I119" s="99"/>
      <c r="J119" s="100"/>
      <c r="K119" s="100"/>
      <c r="L119" s="101"/>
      <c r="M119" s="102"/>
      <c r="N119" s="103"/>
      <c r="O119" s="103"/>
      <c r="P119" s="103"/>
      <c r="Q119" s="103"/>
      <c r="R119" s="103"/>
      <c r="S119" s="103"/>
      <c r="T119" s="103"/>
      <c r="U119" s="104"/>
      <c r="V119" s="100"/>
      <c r="W119" s="101"/>
    </row>
    <row r="120" spans="2:23" ht="18" customHeight="1" x14ac:dyDescent="0.4">
      <c r="B120" s="98"/>
      <c r="C120" s="99"/>
      <c r="D120" s="99"/>
      <c r="E120" s="99"/>
      <c r="F120" s="99"/>
      <c r="G120" s="99"/>
      <c r="H120" s="99"/>
      <c r="I120" s="99"/>
      <c r="J120" s="100"/>
      <c r="K120" s="100"/>
      <c r="L120" s="101"/>
      <c r="M120" s="102"/>
      <c r="N120" s="103"/>
      <c r="O120" s="103"/>
      <c r="P120" s="103"/>
      <c r="Q120" s="103"/>
      <c r="R120" s="103"/>
      <c r="S120" s="103"/>
      <c r="T120" s="103"/>
      <c r="U120" s="104"/>
      <c r="V120" s="100"/>
      <c r="W120" s="101"/>
    </row>
    <row r="121" spans="2:23" ht="18" customHeight="1" x14ac:dyDescent="0.4">
      <c r="B121" s="98"/>
      <c r="C121" s="99"/>
      <c r="D121" s="99"/>
      <c r="E121" s="99"/>
      <c r="F121" s="99"/>
      <c r="G121" s="99"/>
      <c r="H121" s="99"/>
      <c r="I121" s="99"/>
      <c r="J121" s="100"/>
      <c r="K121" s="100"/>
      <c r="L121" s="101"/>
      <c r="M121" s="102"/>
      <c r="N121" s="103"/>
      <c r="O121" s="103"/>
      <c r="P121" s="103"/>
      <c r="Q121" s="103"/>
      <c r="R121" s="103"/>
      <c r="S121" s="103"/>
      <c r="T121" s="103"/>
      <c r="U121" s="104"/>
      <c r="V121" s="100"/>
      <c r="W121" s="101"/>
    </row>
    <row r="122" spans="2:23" ht="18" customHeight="1" x14ac:dyDescent="0.4">
      <c r="B122" s="98"/>
      <c r="C122" s="99"/>
      <c r="D122" s="99"/>
      <c r="E122" s="99"/>
      <c r="F122" s="99"/>
      <c r="G122" s="99"/>
      <c r="H122" s="99"/>
      <c r="I122" s="99"/>
      <c r="J122" s="100"/>
      <c r="K122" s="100"/>
      <c r="L122" s="101"/>
      <c r="M122" s="102"/>
      <c r="N122" s="103"/>
      <c r="O122" s="103"/>
      <c r="P122" s="103"/>
      <c r="Q122" s="103"/>
      <c r="R122" s="103"/>
      <c r="S122" s="103"/>
      <c r="T122" s="103"/>
      <c r="U122" s="104"/>
      <c r="V122" s="100"/>
      <c r="W122" s="101"/>
    </row>
    <row r="123" spans="2:23" ht="18" customHeight="1" x14ac:dyDescent="0.4">
      <c r="B123" s="98"/>
      <c r="C123" s="99"/>
      <c r="D123" s="99"/>
      <c r="E123" s="99"/>
      <c r="F123" s="99"/>
      <c r="G123" s="99"/>
      <c r="H123" s="99"/>
      <c r="I123" s="99"/>
      <c r="J123" s="100"/>
      <c r="K123" s="100"/>
      <c r="L123" s="101"/>
      <c r="M123" s="102"/>
      <c r="N123" s="103"/>
      <c r="O123" s="103"/>
      <c r="P123" s="103"/>
      <c r="Q123" s="103"/>
      <c r="R123" s="103"/>
      <c r="S123" s="103"/>
      <c r="T123" s="103"/>
      <c r="U123" s="104"/>
      <c r="V123" s="100"/>
      <c r="W123" s="101"/>
    </row>
    <row r="124" spans="2:23" ht="18" customHeight="1" x14ac:dyDescent="0.4">
      <c r="B124" s="105"/>
      <c r="C124" s="106"/>
      <c r="D124" s="106"/>
      <c r="E124" s="106"/>
      <c r="F124" s="106"/>
      <c r="G124" s="106"/>
      <c r="H124" s="106"/>
      <c r="I124" s="106"/>
      <c r="J124" s="107"/>
      <c r="K124" s="107"/>
      <c r="L124" s="108"/>
      <c r="M124" s="109"/>
      <c r="N124" s="110"/>
      <c r="O124" s="110"/>
      <c r="P124" s="110"/>
      <c r="Q124" s="110"/>
      <c r="R124" s="110"/>
      <c r="S124" s="110"/>
      <c r="T124" s="110"/>
      <c r="U124" s="111"/>
      <c r="V124" s="107"/>
      <c r="W124" s="108"/>
    </row>
    <row r="125" spans="2:23" ht="18" customHeight="1" x14ac:dyDescent="0.4">
      <c r="B125" s="86"/>
      <c r="C125" s="87"/>
      <c r="D125" s="87"/>
      <c r="E125" s="87"/>
      <c r="F125" s="87"/>
      <c r="G125" s="87"/>
      <c r="H125" s="87"/>
      <c r="I125" s="87"/>
      <c r="J125" s="88" t="s">
        <v>105</v>
      </c>
      <c r="K125" s="87"/>
      <c r="L125" s="89"/>
      <c r="M125" s="90">
        <f>B125</f>
        <v>0</v>
      </c>
      <c r="N125" s="87"/>
      <c r="O125" s="87"/>
      <c r="P125" s="87"/>
      <c r="Q125" s="87"/>
      <c r="R125" s="87"/>
      <c r="S125" s="87"/>
      <c r="T125" s="87"/>
      <c r="U125" s="88" t="s">
        <v>105</v>
      </c>
      <c r="V125" s="87"/>
      <c r="W125" s="89"/>
    </row>
    <row r="126" spans="2:23" ht="18" customHeight="1" x14ac:dyDescent="0.4">
      <c r="B126" s="91"/>
      <c r="C126" s="92"/>
      <c r="D126" s="92"/>
      <c r="E126" s="92"/>
      <c r="F126" s="92"/>
      <c r="G126" s="92"/>
      <c r="H126" s="92"/>
      <c r="I126" s="92"/>
      <c r="J126" s="93"/>
      <c r="K126" s="93"/>
      <c r="L126" s="94"/>
      <c r="M126" s="95"/>
      <c r="N126" s="96"/>
      <c r="O126" s="96"/>
      <c r="P126" s="96"/>
      <c r="Q126" s="96"/>
      <c r="R126" s="96"/>
      <c r="S126" s="96"/>
      <c r="T126" s="96"/>
      <c r="U126" s="97">
        <f t="shared" ref="U126:U135" si="58">J126</f>
        <v>0</v>
      </c>
      <c r="V126" s="93"/>
      <c r="W126" s="94"/>
    </row>
    <row r="127" spans="2:23" ht="18" customHeight="1" x14ac:dyDescent="0.4">
      <c r="B127" s="98"/>
      <c r="C127" s="99"/>
      <c r="D127" s="99"/>
      <c r="E127" s="99"/>
      <c r="F127" s="99"/>
      <c r="G127" s="99"/>
      <c r="H127" s="99"/>
      <c r="I127" s="99"/>
      <c r="J127" s="100"/>
      <c r="K127" s="100"/>
      <c r="L127" s="101"/>
      <c r="M127" s="102"/>
      <c r="N127" s="103"/>
      <c r="O127" s="103"/>
      <c r="P127" s="103"/>
      <c r="Q127" s="103"/>
      <c r="R127" s="103"/>
      <c r="S127" s="103"/>
      <c r="T127" s="103"/>
      <c r="U127" s="104">
        <f t="shared" si="58"/>
        <v>0</v>
      </c>
      <c r="V127" s="100"/>
      <c r="W127" s="101"/>
    </row>
    <row r="128" spans="2:23" ht="18" customHeight="1" x14ac:dyDescent="0.4">
      <c r="B128" s="98"/>
      <c r="C128" s="99"/>
      <c r="D128" s="99"/>
      <c r="E128" s="99"/>
      <c r="F128" s="99"/>
      <c r="G128" s="99"/>
      <c r="H128" s="99"/>
      <c r="I128" s="99"/>
      <c r="J128" s="100"/>
      <c r="K128" s="100"/>
      <c r="L128" s="101"/>
      <c r="M128" s="102"/>
      <c r="N128" s="103"/>
      <c r="O128" s="103"/>
      <c r="P128" s="103"/>
      <c r="Q128" s="103"/>
      <c r="R128" s="103"/>
      <c r="S128" s="103"/>
      <c r="T128" s="103"/>
      <c r="U128" s="104">
        <f t="shared" si="58"/>
        <v>0</v>
      </c>
      <c r="V128" s="100"/>
      <c r="W128" s="101"/>
    </row>
    <row r="129" spans="2:23" ht="18" customHeight="1" x14ac:dyDescent="0.4">
      <c r="B129" s="98"/>
      <c r="C129" s="99"/>
      <c r="D129" s="99"/>
      <c r="E129" s="99"/>
      <c r="F129" s="99"/>
      <c r="G129" s="99"/>
      <c r="H129" s="99"/>
      <c r="I129" s="99"/>
      <c r="J129" s="100"/>
      <c r="K129" s="100"/>
      <c r="L129" s="101"/>
      <c r="M129" s="102"/>
      <c r="N129" s="103"/>
      <c r="O129" s="103"/>
      <c r="P129" s="103"/>
      <c r="Q129" s="103"/>
      <c r="R129" s="103"/>
      <c r="S129" s="103"/>
      <c r="T129" s="103"/>
      <c r="U129" s="104">
        <f t="shared" si="58"/>
        <v>0</v>
      </c>
      <c r="V129" s="100"/>
      <c r="W129" s="101"/>
    </row>
    <row r="130" spans="2:23" ht="18" customHeight="1" x14ac:dyDescent="0.4">
      <c r="B130" s="98"/>
      <c r="C130" s="99"/>
      <c r="D130" s="99"/>
      <c r="E130" s="99"/>
      <c r="F130" s="99"/>
      <c r="G130" s="99"/>
      <c r="H130" s="99"/>
      <c r="I130" s="99"/>
      <c r="J130" s="100"/>
      <c r="K130" s="100"/>
      <c r="L130" s="101"/>
      <c r="M130" s="102"/>
      <c r="N130" s="103"/>
      <c r="O130" s="103"/>
      <c r="P130" s="103"/>
      <c r="Q130" s="103"/>
      <c r="R130" s="103"/>
      <c r="S130" s="103"/>
      <c r="T130" s="103"/>
      <c r="U130" s="104">
        <f t="shared" si="58"/>
        <v>0</v>
      </c>
      <c r="V130" s="100"/>
      <c r="W130" s="101"/>
    </row>
    <row r="131" spans="2:23" ht="18" customHeight="1" x14ac:dyDescent="0.4">
      <c r="B131" s="98"/>
      <c r="C131" s="99"/>
      <c r="D131" s="99"/>
      <c r="E131" s="99"/>
      <c r="F131" s="99"/>
      <c r="G131" s="99"/>
      <c r="H131" s="99"/>
      <c r="I131" s="99"/>
      <c r="J131" s="100"/>
      <c r="K131" s="100"/>
      <c r="L131" s="101"/>
      <c r="M131" s="102"/>
      <c r="N131" s="103"/>
      <c r="O131" s="103"/>
      <c r="P131" s="103"/>
      <c r="Q131" s="103"/>
      <c r="R131" s="103"/>
      <c r="S131" s="103"/>
      <c r="T131" s="103"/>
      <c r="U131" s="104">
        <f t="shared" si="58"/>
        <v>0</v>
      </c>
      <c r="V131" s="100"/>
      <c r="W131" s="101"/>
    </row>
    <row r="132" spans="2:23" ht="18" customHeight="1" x14ac:dyDescent="0.4">
      <c r="B132" s="98"/>
      <c r="C132" s="99"/>
      <c r="D132" s="99"/>
      <c r="E132" s="99"/>
      <c r="F132" s="99"/>
      <c r="G132" s="99"/>
      <c r="H132" s="99"/>
      <c r="I132" s="99"/>
      <c r="J132" s="100"/>
      <c r="K132" s="100"/>
      <c r="L132" s="101"/>
      <c r="M132" s="102"/>
      <c r="N132" s="103"/>
      <c r="O132" s="103"/>
      <c r="P132" s="103"/>
      <c r="Q132" s="103"/>
      <c r="R132" s="103"/>
      <c r="S132" s="103"/>
      <c r="T132" s="103"/>
      <c r="U132" s="104">
        <f t="shared" si="58"/>
        <v>0</v>
      </c>
      <c r="V132" s="100"/>
      <c r="W132" s="101"/>
    </row>
    <row r="133" spans="2:23" ht="18" customHeight="1" x14ac:dyDescent="0.4">
      <c r="B133" s="98"/>
      <c r="C133" s="99"/>
      <c r="D133" s="99"/>
      <c r="E133" s="99"/>
      <c r="F133" s="99"/>
      <c r="G133" s="99"/>
      <c r="H133" s="99"/>
      <c r="I133" s="99"/>
      <c r="J133" s="100"/>
      <c r="K133" s="100"/>
      <c r="L133" s="101"/>
      <c r="M133" s="102"/>
      <c r="N133" s="103"/>
      <c r="O133" s="103"/>
      <c r="P133" s="103"/>
      <c r="Q133" s="103"/>
      <c r="R133" s="103"/>
      <c r="S133" s="103"/>
      <c r="T133" s="103"/>
      <c r="U133" s="104">
        <f t="shared" si="58"/>
        <v>0</v>
      </c>
      <c r="V133" s="100"/>
      <c r="W133" s="101"/>
    </row>
    <row r="134" spans="2:23" ht="18" customHeight="1" x14ac:dyDescent="0.4">
      <c r="B134" s="98"/>
      <c r="C134" s="99"/>
      <c r="D134" s="99"/>
      <c r="E134" s="99"/>
      <c r="F134" s="99"/>
      <c r="G134" s="99"/>
      <c r="H134" s="99"/>
      <c r="I134" s="99"/>
      <c r="J134" s="100"/>
      <c r="K134" s="100"/>
      <c r="L134" s="101"/>
      <c r="M134" s="102"/>
      <c r="N134" s="103"/>
      <c r="O134" s="103"/>
      <c r="P134" s="103"/>
      <c r="Q134" s="103"/>
      <c r="R134" s="103"/>
      <c r="S134" s="103"/>
      <c r="T134" s="103"/>
      <c r="U134" s="104">
        <f t="shared" si="58"/>
        <v>0</v>
      </c>
      <c r="V134" s="100"/>
      <c r="W134" s="101"/>
    </row>
    <row r="135" spans="2:23" ht="18" customHeight="1" x14ac:dyDescent="0.4">
      <c r="B135" s="105"/>
      <c r="C135" s="106"/>
      <c r="D135" s="106"/>
      <c r="E135" s="106"/>
      <c r="F135" s="106"/>
      <c r="G135" s="106"/>
      <c r="H135" s="106"/>
      <c r="I135" s="106"/>
      <c r="J135" s="107"/>
      <c r="K135" s="107"/>
      <c r="L135" s="108"/>
      <c r="M135" s="109"/>
      <c r="N135" s="110"/>
      <c r="O135" s="110"/>
      <c r="P135" s="110"/>
      <c r="Q135" s="110"/>
      <c r="R135" s="110"/>
      <c r="S135" s="110"/>
      <c r="T135" s="110"/>
      <c r="U135" s="111">
        <f t="shared" si="58"/>
        <v>0</v>
      </c>
      <c r="V135" s="107"/>
      <c r="W135" s="108"/>
    </row>
    <row r="136" spans="2:23" ht="18" customHeight="1" x14ac:dyDescent="0.4">
      <c r="B136" s="86"/>
      <c r="C136" s="87"/>
      <c r="D136" s="87"/>
      <c r="E136" s="87"/>
      <c r="F136" s="87"/>
      <c r="G136" s="87"/>
      <c r="H136" s="87"/>
      <c r="I136" s="87"/>
      <c r="J136" s="88" t="s">
        <v>105</v>
      </c>
      <c r="K136" s="87"/>
      <c r="L136" s="89"/>
      <c r="M136" s="90">
        <f>B136</f>
        <v>0</v>
      </c>
      <c r="N136" s="87"/>
      <c r="O136" s="87"/>
      <c r="P136" s="87"/>
      <c r="Q136" s="87"/>
      <c r="R136" s="87"/>
      <c r="S136" s="87"/>
      <c r="T136" s="87"/>
      <c r="U136" s="88" t="s">
        <v>105</v>
      </c>
      <c r="V136" s="87"/>
      <c r="W136" s="89"/>
    </row>
    <row r="137" spans="2:23" ht="18" customHeight="1" x14ac:dyDescent="0.4">
      <c r="B137" s="91"/>
      <c r="C137" s="92"/>
      <c r="D137" s="92"/>
      <c r="E137" s="92"/>
      <c r="F137" s="92"/>
      <c r="G137" s="92"/>
      <c r="H137" s="92"/>
      <c r="I137" s="92"/>
      <c r="J137" s="93"/>
      <c r="K137" s="93"/>
      <c r="L137" s="94"/>
      <c r="M137" s="95"/>
      <c r="N137" s="96"/>
      <c r="O137" s="96"/>
      <c r="P137" s="96"/>
      <c r="Q137" s="96"/>
      <c r="R137" s="96"/>
      <c r="S137" s="96"/>
      <c r="T137" s="96"/>
      <c r="U137" s="97">
        <f t="shared" ref="U137:U146" si="59">J137</f>
        <v>0</v>
      </c>
      <c r="V137" s="93"/>
      <c r="W137" s="94"/>
    </row>
    <row r="138" spans="2:23" ht="18" customHeight="1" x14ac:dyDescent="0.4">
      <c r="B138" s="98"/>
      <c r="C138" s="99"/>
      <c r="D138" s="99"/>
      <c r="E138" s="99"/>
      <c r="F138" s="99"/>
      <c r="G138" s="99"/>
      <c r="H138" s="99"/>
      <c r="I138" s="99"/>
      <c r="J138" s="100"/>
      <c r="K138" s="100"/>
      <c r="L138" s="101"/>
      <c r="M138" s="102"/>
      <c r="N138" s="103"/>
      <c r="O138" s="103"/>
      <c r="P138" s="103"/>
      <c r="Q138" s="103"/>
      <c r="R138" s="103"/>
      <c r="S138" s="103"/>
      <c r="T138" s="103"/>
      <c r="U138" s="104">
        <f t="shared" si="59"/>
        <v>0</v>
      </c>
      <c r="V138" s="100"/>
      <c r="W138" s="101"/>
    </row>
    <row r="139" spans="2:23" ht="18" customHeight="1" x14ac:dyDescent="0.4">
      <c r="B139" s="98"/>
      <c r="C139" s="99"/>
      <c r="D139" s="99"/>
      <c r="E139" s="99"/>
      <c r="F139" s="99"/>
      <c r="G139" s="99"/>
      <c r="H139" s="99"/>
      <c r="I139" s="99"/>
      <c r="J139" s="100"/>
      <c r="K139" s="100"/>
      <c r="L139" s="101"/>
      <c r="M139" s="102"/>
      <c r="N139" s="103"/>
      <c r="O139" s="103"/>
      <c r="P139" s="103"/>
      <c r="Q139" s="103"/>
      <c r="R139" s="103"/>
      <c r="S139" s="103"/>
      <c r="T139" s="103"/>
      <c r="U139" s="104">
        <f t="shared" si="59"/>
        <v>0</v>
      </c>
      <c r="V139" s="100"/>
      <c r="W139" s="101"/>
    </row>
    <row r="140" spans="2:23" ht="18" customHeight="1" x14ac:dyDescent="0.4">
      <c r="B140" s="98"/>
      <c r="C140" s="99"/>
      <c r="D140" s="99"/>
      <c r="E140" s="99"/>
      <c r="F140" s="99"/>
      <c r="G140" s="99"/>
      <c r="H140" s="99"/>
      <c r="I140" s="99"/>
      <c r="J140" s="100"/>
      <c r="K140" s="100"/>
      <c r="L140" s="101"/>
      <c r="M140" s="102"/>
      <c r="N140" s="103"/>
      <c r="O140" s="103"/>
      <c r="P140" s="103"/>
      <c r="Q140" s="103"/>
      <c r="R140" s="103"/>
      <c r="S140" s="103"/>
      <c r="T140" s="103"/>
      <c r="U140" s="104">
        <f t="shared" si="59"/>
        <v>0</v>
      </c>
      <c r="V140" s="100"/>
      <c r="W140" s="101"/>
    </row>
    <row r="141" spans="2:23" ht="18" customHeight="1" x14ac:dyDescent="0.4">
      <c r="B141" s="98"/>
      <c r="C141" s="99"/>
      <c r="D141" s="99"/>
      <c r="E141" s="99"/>
      <c r="F141" s="99"/>
      <c r="G141" s="99"/>
      <c r="H141" s="99"/>
      <c r="I141" s="99"/>
      <c r="J141" s="100"/>
      <c r="K141" s="100"/>
      <c r="L141" s="101"/>
      <c r="M141" s="102"/>
      <c r="N141" s="103"/>
      <c r="O141" s="103"/>
      <c r="P141" s="103"/>
      <c r="Q141" s="103"/>
      <c r="R141" s="103"/>
      <c r="S141" s="103"/>
      <c r="T141" s="103"/>
      <c r="U141" s="104">
        <f t="shared" si="59"/>
        <v>0</v>
      </c>
      <c r="V141" s="100"/>
      <c r="W141" s="101"/>
    </row>
    <row r="142" spans="2:23" ht="18" customHeight="1" x14ac:dyDescent="0.4">
      <c r="B142" s="98"/>
      <c r="C142" s="99"/>
      <c r="D142" s="99"/>
      <c r="E142" s="99"/>
      <c r="F142" s="99"/>
      <c r="G142" s="99"/>
      <c r="H142" s="99"/>
      <c r="I142" s="99"/>
      <c r="J142" s="100"/>
      <c r="K142" s="100"/>
      <c r="L142" s="101"/>
      <c r="M142" s="102"/>
      <c r="N142" s="103"/>
      <c r="O142" s="103"/>
      <c r="P142" s="103"/>
      <c r="Q142" s="103"/>
      <c r="R142" s="103"/>
      <c r="S142" s="103"/>
      <c r="T142" s="103"/>
      <c r="U142" s="104">
        <f t="shared" si="59"/>
        <v>0</v>
      </c>
      <c r="V142" s="100"/>
      <c r="W142" s="101"/>
    </row>
    <row r="143" spans="2:23" ht="18" customHeight="1" x14ac:dyDescent="0.4">
      <c r="B143" s="98"/>
      <c r="C143" s="99"/>
      <c r="D143" s="99"/>
      <c r="E143" s="99"/>
      <c r="F143" s="99"/>
      <c r="G143" s="99"/>
      <c r="H143" s="99"/>
      <c r="I143" s="99"/>
      <c r="J143" s="100"/>
      <c r="K143" s="100"/>
      <c r="L143" s="101"/>
      <c r="M143" s="102"/>
      <c r="N143" s="103"/>
      <c r="O143" s="103"/>
      <c r="P143" s="103"/>
      <c r="Q143" s="103"/>
      <c r="R143" s="103"/>
      <c r="S143" s="103"/>
      <c r="T143" s="103"/>
      <c r="U143" s="104">
        <f t="shared" si="59"/>
        <v>0</v>
      </c>
      <c r="V143" s="100"/>
      <c r="W143" s="101"/>
    </row>
    <row r="144" spans="2:23" ht="18" customHeight="1" x14ac:dyDescent="0.4">
      <c r="B144" s="98"/>
      <c r="C144" s="99"/>
      <c r="D144" s="99"/>
      <c r="E144" s="99"/>
      <c r="F144" s="99"/>
      <c r="G144" s="99"/>
      <c r="H144" s="99"/>
      <c r="I144" s="99"/>
      <c r="J144" s="100"/>
      <c r="K144" s="100"/>
      <c r="L144" s="101"/>
      <c r="M144" s="102"/>
      <c r="N144" s="103"/>
      <c r="O144" s="103"/>
      <c r="P144" s="103"/>
      <c r="Q144" s="103"/>
      <c r="R144" s="103"/>
      <c r="S144" s="103"/>
      <c r="T144" s="103"/>
      <c r="U144" s="104">
        <f t="shared" si="59"/>
        <v>0</v>
      </c>
      <c r="V144" s="100"/>
      <c r="W144" s="101"/>
    </row>
    <row r="145" spans="2:23" ht="18" customHeight="1" x14ac:dyDescent="0.4">
      <c r="B145" s="98"/>
      <c r="C145" s="99"/>
      <c r="D145" s="99"/>
      <c r="E145" s="99"/>
      <c r="F145" s="99"/>
      <c r="G145" s="99"/>
      <c r="H145" s="99"/>
      <c r="I145" s="99"/>
      <c r="J145" s="100"/>
      <c r="K145" s="100"/>
      <c r="L145" s="101"/>
      <c r="M145" s="102"/>
      <c r="N145" s="103"/>
      <c r="O145" s="103"/>
      <c r="P145" s="103"/>
      <c r="Q145" s="103"/>
      <c r="R145" s="103"/>
      <c r="S145" s="103"/>
      <c r="T145" s="103"/>
      <c r="U145" s="104">
        <f t="shared" si="59"/>
        <v>0</v>
      </c>
      <c r="V145" s="100"/>
      <c r="W145" s="101"/>
    </row>
    <row r="146" spans="2:23" ht="18" customHeight="1" x14ac:dyDescent="0.4">
      <c r="B146" s="105"/>
      <c r="C146" s="106"/>
      <c r="D146" s="106"/>
      <c r="E146" s="106"/>
      <c r="F146" s="106"/>
      <c r="G146" s="106"/>
      <c r="H146" s="106"/>
      <c r="I146" s="106"/>
      <c r="J146" s="107"/>
      <c r="K146" s="107"/>
      <c r="L146" s="108"/>
      <c r="M146" s="109"/>
      <c r="N146" s="110"/>
      <c r="O146" s="110"/>
      <c r="P146" s="110"/>
      <c r="Q146" s="110"/>
      <c r="R146" s="110"/>
      <c r="S146" s="110"/>
      <c r="T146" s="110"/>
      <c r="U146" s="111">
        <f t="shared" si="59"/>
        <v>0</v>
      </c>
      <c r="V146" s="107"/>
      <c r="W146" s="108"/>
    </row>
    <row r="147" spans="2:23" ht="18" customHeight="1" x14ac:dyDescent="0.4">
      <c r="B147" s="86"/>
      <c r="C147" s="87"/>
      <c r="D147" s="87"/>
      <c r="E147" s="87"/>
      <c r="F147" s="87"/>
      <c r="G147" s="87"/>
      <c r="H147" s="87"/>
      <c r="I147" s="87"/>
      <c r="J147" s="88" t="s">
        <v>105</v>
      </c>
      <c r="K147" s="87"/>
      <c r="L147" s="89"/>
      <c r="M147" s="90">
        <f>B147</f>
        <v>0</v>
      </c>
      <c r="N147" s="87"/>
      <c r="O147" s="87"/>
      <c r="P147" s="87"/>
      <c r="Q147" s="87"/>
      <c r="R147" s="87"/>
      <c r="S147" s="87"/>
      <c r="T147" s="87"/>
      <c r="U147" s="88" t="s">
        <v>105</v>
      </c>
      <c r="V147" s="87"/>
      <c r="W147" s="89"/>
    </row>
    <row r="148" spans="2:23" ht="18" customHeight="1" x14ac:dyDescent="0.4">
      <c r="B148" s="91"/>
      <c r="C148" s="92"/>
      <c r="D148" s="92"/>
      <c r="E148" s="92"/>
      <c r="F148" s="92"/>
      <c r="G148" s="92"/>
      <c r="H148" s="92"/>
      <c r="I148" s="92"/>
      <c r="J148" s="93"/>
      <c r="K148" s="93"/>
      <c r="L148" s="94"/>
      <c r="M148" s="95"/>
      <c r="N148" s="96"/>
      <c r="O148" s="96"/>
      <c r="P148" s="96"/>
      <c r="Q148" s="96"/>
      <c r="R148" s="96"/>
      <c r="S148" s="96"/>
      <c r="T148" s="96"/>
      <c r="U148" s="97">
        <f t="shared" ref="U148:U157" si="60">J148</f>
        <v>0</v>
      </c>
      <c r="V148" s="93"/>
      <c r="W148" s="94"/>
    </row>
    <row r="149" spans="2:23" ht="18" customHeight="1" x14ac:dyDescent="0.4">
      <c r="B149" s="98"/>
      <c r="C149" s="99"/>
      <c r="D149" s="99"/>
      <c r="E149" s="99"/>
      <c r="F149" s="99"/>
      <c r="G149" s="99"/>
      <c r="H149" s="99"/>
      <c r="I149" s="99"/>
      <c r="J149" s="100"/>
      <c r="K149" s="100"/>
      <c r="L149" s="101"/>
      <c r="M149" s="102"/>
      <c r="N149" s="103"/>
      <c r="O149" s="103"/>
      <c r="P149" s="103"/>
      <c r="Q149" s="103"/>
      <c r="R149" s="103"/>
      <c r="S149" s="103"/>
      <c r="T149" s="103"/>
      <c r="U149" s="104">
        <f t="shared" si="60"/>
        <v>0</v>
      </c>
      <c r="V149" s="100"/>
      <c r="W149" s="101"/>
    </row>
    <row r="150" spans="2:23" ht="18" customHeight="1" x14ac:dyDescent="0.4">
      <c r="B150" s="98"/>
      <c r="C150" s="99"/>
      <c r="D150" s="99"/>
      <c r="E150" s="99"/>
      <c r="F150" s="99"/>
      <c r="G150" s="99"/>
      <c r="H150" s="99"/>
      <c r="I150" s="99"/>
      <c r="J150" s="100"/>
      <c r="K150" s="100"/>
      <c r="L150" s="101"/>
      <c r="M150" s="102"/>
      <c r="N150" s="103"/>
      <c r="O150" s="103"/>
      <c r="P150" s="103"/>
      <c r="Q150" s="103"/>
      <c r="R150" s="103"/>
      <c r="S150" s="103"/>
      <c r="T150" s="103"/>
      <c r="U150" s="104">
        <f t="shared" si="60"/>
        <v>0</v>
      </c>
      <c r="V150" s="100"/>
      <c r="W150" s="101"/>
    </row>
    <row r="151" spans="2:23" ht="18" customHeight="1" x14ac:dyDescent="0.4">
      <c r="B151" s="98"/>
      <c r="C151" s="99"/>
      <c r="D151" s="99"/>
      <c r="E151" s="99"/>
      <c r="F151" s="99"/>
      <c r="G151" s="99"/>
      <c r="H151" s="99"/>
      <c r="I151" s="99"/>
      <c r="J151" s="100"/>
      <c r="K151" s="100"/>
      <c r="L151" s="101"/>
      <c r="M151" s="102"/>
      <c r="N151" s="103"/>
      <c r="O151" s="103"/>
      <c r="P151" s="103"/>
      <c r="Q151" s="103"/>
      <c r="R151" s="103"/>
      <c r="S151" s="103"/>
      <c r="T151" s="103"/>
      <c r="U151" s="104">
        <f t="shared" si="60"/>
        <v>0</v>
      </c>
      <c r="V151" s="100"/>
      <c r="W151" s="101"/>
    </row>
    <row r="152" spans="2:23" ht="18" customHeight="1" x14ac:dyDescent="0.4">
      <c r="B152" s="98"/>
      <c r="C152" s="99"/>
      <c r="D152" s="99"/>
      <c r="E152" s="99"/>
      <c r="F152" s="99"/>
      <c r="G152" s="99"/>
      <c r="H152" s="99"/>
      <c r="I152" s="99"/>
      <c r="J152" s="100"/>
      <c r="K152" s="100"/>
      <c r="L152" s="101"/>
      <c r="M152" s="102"/>
      <c r="N152" s="103"/>
      <c r="O152" s="103"/>
      <c r="P152" s="103"/>
      <c r="Q152" s="103"/>
      <c r="R152" s="103"/>
      <c r="S152" s="103"/>
      <c r="T152" s="103"/>
      <c r="U152" s="104">
        <f t="shared" si="60"/>
        <v>0</v>
      </c>
      <c r="V152" s="100"/>
      <c r="W152" s="101"/>
    </row>
    <row r="153" spans="2:23" ht="18" customHeight="1" x14ac:dyDescent="0.4">
      <c r="B153" s="98"/>
      <c r="C153" s="99"/>
      <c r="D153" s="99"/>
      <c r="E153" s="99"/>
      <c r="F153" s="99"/>
      <c r="G153" s="99"/>
      <c r="H153" s="99"/>
      <c r="I153" s="99"/>
      <c r="J153" s="100"/>
      <c r="K153" s="100"/>
      <c r="L153" s="101"/>
      <c r="M153" s="102"/>
      <c r="N153" s="103"/>
      <c r="O153" s="103"/>
      <c r="P153" s="103"/>
      <c r="Q153" s="103"/>
      <c r="R153" s="103"/>
      <c r="S153" s="103"/>
      <c r="T153" s="103"/>
      <c r="U153" s="104">
        <f t="shared" si="60"/>
        <v>0</v>
      </c>
      <c r="V153" s="100"/>
      <c r="W153" s="101"/>
    </row>
    <row r="154" spans="2:23" ht="18" customHeight="1" x14ac:dyDescent="0.4">
      <c r="B154" s="98"/>
      <c r="C154" s="99"/>
      <c r="D154" s="99"/>
      <c r="E154" s="99"/>
      <c r="F154" s="99"/>
      <c r="G154" s="99"/>
      <c r="H154" s="99"/>
      <c r="I154" s="99"/>
      <c r="J154" s="100"/>
      <c r="K154" s="100"/>
      <c r="L154" s="101"/>
      <c r="M154" s="102"/>
      <c r="N154" s="103"/>
      <c r="O154" s="103"/>
      <c r="P154" s="103"/>
      <c r="Q154" s="103"/>
      <c r="R154" s="103"/>
      <c r="S154" s="103"/>
      <c r="T154" s="103"/>
      <c r="U154" s="104">
        <f t="shared" si="60"/>
        <v>0</v>
      </c>
      <c r="V154" s="100"/>
      <c r="W154" s="101"/>
    </row>
    <row r="155" spans="2:23" ht="18" customHeight="1" x14ac:dyDescent="0.4">
      <c r="B155" s="98"/>
      <c r="C155" s="99"/>
      <c r="D155" s="99"/>
      <c r="E155" s="99"/>
      <c r="F155" s="99"/>
      <c r="G155" s="99"/>
      <c r="H155" s="99"/>
      <c r="I155" s="99"/>
      <c r="J155" s="100"/>
      <c r="K155" s="100"/>
      <c r="L155" s="101"/>
      <c r="M155" s="102"/>
      <c r="N155" s="103"/>
      <c r="O155" s="103"/>
      <c r="P155" s="103"/>
      <c r="Q155" s="103"/>
      <c r="R155" s="103"/>
      <c r="S155" s="103"/>
      <c r="T155" s="103"/>
      <c r="U155" s="104">
        <f t="shared" si="60"/>
        <v>0</v>
      </c>
      <c r="V155" s="100"/>
      <c r="W155" s="101"/>
    </row>
    <row r="156" spans="2:23" ht="18" customHeight="1" x14ac:dyDescent="0.4">
      <c r="B156" s="98"/>
      <c r="C156" s="99"/>
      <c r="D156" s="99"/>
      <c r="E156" s="99"/>
      <c r="F156" s="99"/>
      <c r="G156" s="99"/>
      <c r="H156" s="99"/>
      <c r="I156" s="99"/>
      <c r="J156" s="100"/>
      <c r="K156" s="100"/>
      <c r="L156" s="101"/>
      <c r="M156" s="102"/>
      <c r="N156" s="103"/>
      <c r="O156" s="103"/>
      <c r="P156" s="103"/>
      <c r="Q156" s="103"/>
      <c r="R156" s="103"/>
      <c r="S156" s="103"/>
      <c r="T156" s="103"/>
      <c r="U156" s="104">
        <f t="shared" si="60"/>
        <v>0</v>
      </c>
      <c r="V156" s="100"/>
      <c r="W156" s="101"/>
    </row>
    <row r="157" spans="2:23" ht="18" customHeight="1" x14ac:dyDescent="0.4">
      <c r="B157" s="105"/>
      <c r="C157" s="106"/>
      <c r="D157" s="106"/>
      <c r="E157" s="106"/>
      <c r="F157" s="106"/>
      <c r="G157" s="106"/>
      <c r="H157" s="106"/>
      <c r="I157" s="106"/>
      <c r="J157" s="107"/>
      <c r="K157" s="107"/>
      <c r="L157" s="108"/>
      <c r="M157" s="109"/>
      <c r="N157" s="110"/>
      <c r="O157" s="110"/>
      <c r="P157" s="110"/>
      <c r="Q157" s="110"/>
      <c r="R157" s="110"/>
      <c r="S157" s="110"/>
      <c r="T157" s="110"/>
      <c r="U157" s="111">
        <f t="shared" si="60"/>
        <v>0</v>
      </c>
      <c r="V157" s="107"/>
      <c r="W157" s="108"/>
    </row>
    <row r="158" spans="2:23" ht="18" customHeight="1" x14ac:dyDescent="0.4">
      <c r="B158" s="86"/>
      <c r="C158" s="87"/>
      <c r="D158" s="87"/>
      <c r="E158" s="87"/>
      <c r="F158" s="87"/>
      <c r="G158" s="87"/>
      <c r="H158" s="87"/>
      <c r="I158" s="87"/>
      <c r="J158" s="88" t="s">
        <v>105</v>
      </c>
      <c r="K158" s="87"/>
      <c r="L158" s="89"/>
      <c r="M158" s="90">
        <f>B158</f>
        <v>0</v>
      </c>
      <c r="N158" s="87"/>
      <c r="O158" s="87"/>
      <c r="P158" s="87"/>
      <c r="Q158" s="87"/>
      <c r="R158" s="87"/>
      <c r="S158" s="87"/>
      <c r="T158" s="87"/>
      <c r="U158" s="88" t="s">
        <v>105</v>
      </c>
      <c r="V158" s="87"/>
      <c r="W158" s="89"/>
    </row>
    <row r="159" spans="2:23" ht="18" customHeight="1" x14ac:dyDescent="0.4">
      <c r="B159" s="95"/>
      <c r="C159" s="96"/>
      <c r="D159" s="96"/>
      <c r="E159" s="96"/>
      <c r="F159" s="96"/>
      <c r="G159" s="96"/>
      <c r="H159" s="96"/>
      <c r="I159" s="96"/>
      <c r="J159" s="93"/>
      <c r="K159" s="93"/>
      <c r="L159" s="94"/>
      <c r="M159" s="95"/>
      <c r="N159" s="96"/>
      <c r="O159" s="96"/>
      <c r="P159" s="96"/>
      <c r="Q159" s="96"/>
      <c r="R159" s="96"/>
      <c r="S159" s="96"/>
      <c r="T159" s="96"/>
      <c r="U159" s="97">
        <f t="shared" ref="U159:U168" si="61">J159</f>
        <v>0</v>
      </c>
      <c r="V159" s="93"/>
      <c r="W159" s="94"/>
    </row>
    <row r="160" spans="2:23" ht="18" customHeight="1" x14ac:dyDescent="0.4">
      <c r="B160" s="102"/>
      <c r="C160" s="103"/>
      <c r="D160" s="103"/>
      <c r="E160" s="103"/>
      <c r="F160" s="103"/>
      <c r="G160" s="103"/>
      <c r="H160" s="103"/>
      <c r="I160" s="103"/>
      <c r="J160" s="100"/>
      <c r="K160" s="100"/>
      <c r="L160" s="101"/>
      <c r="M160" s="102"/>
      <c r="N160" s="103"/>
      <c r="O160" s="103"/>
      <c r="P160" s="103"/>
      <c r="Q160" s="103"/>
      <c r="R160" s="103"/>
      <c r="S160" s="103"/>
      <c r="T160" s="103"/>
      <c r="U160" s="104">
        <f t="shared" si="61"/>
        <v>0</v>
      </c>
      <c r="V160" s="100"/>
      <c r="W160" s="101"/>
    </row>
    <row r="161" spans="2:23" ht="18" customHeight="1" x14ac:dyDescent="0.4">
      <c r="B161" s="102"/>
      <c r="C161" s="103"/>
      <c r="D161" s="103"/>
      <c r="E161" s="103"/>
      <c r="F161" s="103"/>
      <c r="G161" s="103"/>
      <c r="H161" s="103"/>
      <c r="I161" s="103"/>
      <c r="J161" s="100"/>
      <c r="K161" s="100"/>
      <c r="L161" s="101"/>
      <c r="M161" s="102"/>
      <c r="N161" s="103"/>
      <c r="O161" s="103"/>
      <c r="P161" s="103"/>
      <c r="Q161" s="103"/>
      <c r="R161" s="103"/>
      <c r="S161" s="103"/>
      <c r="T161" s="103"/>
      <c r="U161" s="104">
        <f t="shared" si="61"/>
        <v>0</v>
      </c>
      <c r="V161" s="100"/>
      <c r="W161" s="101"/>
    </row>
    <row r="162" spans="2:23" ht="18" customHeight="1" x14ac:dyDescent="0.4">
      <c r="B162" s="102"/>
      <c r="C162" s="103"/>
      <c r="D162" s="103"/>
      <c r="E162" s="103"/>
      <c r="F162" s="103"/>
      <c r="G162" s="103"/>
      <c r="H162" s="103"/>
      <c r="I162" s="103"/>
      <c r="J162" s="100"/>
      <c r="K162" s="100"/>
      <c r="L162" s="101"/>
      <c r="M162" s="102"/>
      <c r="N162" s="103"/>
      <c r="O162" s="103"/>
      <c r="P162" s="103"/>
      <c r="Q162" s="103"/>
      <c r="R162" s="103"/>
      <c r="S162" s="103"/>
      <c r="T162" s="103"/>
      <c r="U162" s="104">
        <f t="shared" si="61"/>
        <v>0</v>
      </c>
      <c r="V162" s="100"/>
      <c r="W162" s="101"/>
    </row>
    <row r="163" spans="2:23" ht="18" customHeight="1" x14ac:dyDescent="0.4">
      <c r="B163" s="102"/>
      <c r="C163" s="103"/>
      <c r="D163" s="103"/>
      <c r="E163" s="103"/>
      <c r="F163" s="103"/>
      <c r="G163" s="103"/>
      <c r="H163" s="103"/>
      <c r="I163" s="103"/>
      <c r="J163" s="100"/>
      <c r="K163" s="100"/>
      <c r="L163" s="101"/>
      <c r="M163" s="102"/>
      <c r="N163" s="103"/>
      <c r="O163" s="103"/>
      <c r="P163" s="103"/>
      <c r="Q163" s="103"/>
      <c r="R163" s="103"/>
      <c r="S163" s="103"/>
      <c r="T163" s="103"/>
      <c r="U163" s="104">
        <f t="shared" si="61"/>
        <v>0</v>
      </c>
      <c r="V163" s="100"/>
      <c r="W163" s="101"/>
    </row>
    <row r="164" spans="2:23" ht="18" customHeight="1" x14ac:dyDescent="0.4">
      <c r="B164" s="102"/>
      <c r="C164" s="103"/>
      <c r="D164" s="103"/>
      <c r="E164" s="103"/>
      <c r="F164" s="103"/>
      <c r="G164" s="103"/>
      <c r="H164" s="103"/>
      <c r="I164" s="103"/>
      <c r="J164" s="100"/>
      <c r="K164" s="100"/>
      <c r="L164" s="101"/>
      <c r="M164" s="102"/>
      <c r="N164" s="103"/>
      <c r="O164" s="103"/>
      <c r="P164" s="103"/>
      <c r="Q164" s="103"/>
      <c r="R164" s="103"/>
      <c r="S164" s="103"/>
      <c r="T164" s="103"/>
      <c r="U164" s="104">
        <f t="shared" si="61"/>
        <v>0</v>
      </c>
      <c r="V164" s="100"/>
      <c r="W164" s="101"/>
    </row>
    <row r="165" spans="2:23" ht="18" customHeight="1" x14ac:dyDescent="0.4">
      <c r="B165" s="102"/>
      <c r="C165" s="103"/>
      <c r="D165" s="103"/>
      <c r="E165" s="103"/>
      <c r="F165" s="103"/>
      <c r="G165" s="103"/>
      <c r="H165" s="103"/>
      <c r="I165" s="103"/>
      <c r="J165" s="100"/>
      <c r="K165" s="100"/>
      <c r="L165" s="101"/>
      <c r="M165" s="102"/>
      <c r="N165" s="103"/>
      <c r="O165" s="103"/>
      <c r="P165" s="103"/>
      <c r="Q165" s="103"/>
      <c r="R165" s="103"/>
      <c r="S165" s="103"/>
      <c r="T165" s="103"/>
      <c r="U165" s="104">
        <f t="shared" si="61"/>
        <v>0</v>
      </c>
      <c r="V165" s="100"/>
      <c r="W165" s="101"/>
    </row>
    <row r="166" spans="2:23" ht="18" customHeight="1" x14ac:dyDescent="0.4">
      <c r="B166" s="102"/>
      <c r="C166" s="103"/>
      <c r="D166" s="103"/>
      <c r="E166" s="103"/>
      <c r="F166" s="103"/>
      <c r="G166" s="103"/>
      <c r="H166" s="103"/>
      <c r="I166" s="103"/>
      <c r="J166" s="100"/>
      <c r="K166" s="100"/>
      <c r="L166" s="101"/>
      <c r="M166" s="102"/>
      <c r="N166" s="103"/>
      <c r="O166" s="103"/>
      <c r="P166" s="103"/>
      <c r="Q166" s="103"/>
      <c r="R166" s="103"/>
      <c r="S166" s="103"/>
      <c r="T166" s="103"/>
      <c r="U166" s="104">
        <f t="shared" si="61"/>
        <v>0</v>
      </c>
      <c r="V166" s="100"/>
      <c r="W166" s="101"/>
    </row>
    <row r="167" spans="2:23" ht="18" customHeight="1" x14ac:dyDescent="0.4">
      <c r="B167" s="102"/>
      <c r="C167" s="103"/>
      <c r="D167" s="103"/>
      <c r="E167" s="103"/>
      <c r="F167" s="103"/>
      <c r="G167" s="103"/>
      <c r="H167" s="103"/>
      <c r="I167" s="103"/>
      <c r="J167" s="100"/>
      <c r="K167" s="100"/>
      <c r="L167" s="101"/>
      <c r="M167" s="102"/>
      <c r="N167" s="103"/>
      <c r="O167" s="103"/>
      <c r="P167" s="103"/>
      <c r="Q167" s="103"/>
      <c r="R167" s="103"/>
      <c r="S167" s="103"/>
      <c r="T167" s="103"/>
      <c r="U167" s="104">
        <f t="shared" si="61"/>
        <v>0</v>
      </c>
      <c r="V167" s="100"/>
      <c r="W167" s="101"/>
    </row>
    <row r="168" spans="2:23" ht="18" customHeight="1" x14ac:dyDescent="0.4">
      <c r="B168" s="109"/>
      <c r="C168" s="110"/>
      <c r="D168" s="110"/>
      <c r="E168" s="110"/>
      <c r="F168" s="110"/>
      <c r="G168" s="110"/>
      <c r="H168" s="110"/>
      <c r="I168" s="110"/>
      <c r="J168" s="107"/>
      <c r="K168" s="107"/>
      <c r="L168" s="108"/>
      <c r="M168" s="109"/>
      <c r="N168" s="110"/>
      <c r="O168" s="110"/>
      <c r="P168" s="110"/>
      <c r="Q168" s="110"/>
      <c r="R168" s="110"/>
      <c r="S168" s="110"/>
      <c r="T168" s="110"/>
      <c r="U168" s="111">
        <f t="shared" si="61"/>
        <v>0</v>
      </c>
      <c r="V168" s="107"/>
      <c r="W168" s="108"/>
    </row>
    <row r="169" spans="2:23" ht="18" customHeight="1" x14ac:dyDescent="0.4">
      <c r="B169" s="86"/>
      <c r="C169" s="87"/>
      <c r="D169" s="87"/>
      <c r="E169" s="87"/>
      <c r="F169" s="87"/>
      <c r="G169" s="87"/>
      <c r="H169" s="87"/>
      <c r="I169" s="87"/>
      <c r="J169" s="88" t="s">
        <v>105</v>
      </c>
      <c r="K169" s="87"/>
      <c r="L169" s="89"/>
      <c r="M169" s="90">
        <f>B169</f>
        <v>0</v>
      </c>
      <c r="N169" s="87"/>
      <c r="O169" s="87"/>
      <c r="P169" s="87"/>
      <c r="Q169" s="87"/>
      <c r="R169" s="87"/>
      <c r="S169" s="87"/>
      <c r="T169" s="87"/>
      <c r="U169" s="88" t="s">
        <v>105</v>
      </c>
      <c r="V169" s="87"/>
      <c r="W169" s="89"/>
    </row>
    <row r="170" spans="2:23" ht="18" customHeight="1" x14ac:dyDescent="0.4">
      <c r="B170" s="95"/>
      <c r="C170" s="96"/>
      <c r="D170" s="96"/>
      <c r="E170" s="96"/>
      <c r="F170" s="96"/>
      <c r="G170" s="96"/>
      <c r="H170" s="96"/>
      <c r="I170" s="96"/>
      <c r="J170" s="93"/>
      <c r="K170" s="93"/>
      <c r="L170" s="94"/>
      <c r="M170" s="95"/>
      <c r="N170" s="96"/>
      <c r="O170" s="96"/>
      <c r="P170" s="96"/>
      <c r="Q170" s="96"/>
      <c r="R170" s="96"/>
      <c r="S170" s="96"/>
      <c r="T170" s="96"/>
      <c r="U170" s="97">
        <f t="shared" ref="U170:U179" si="62">J170</f>
        <v>0</v>
      </c>
      <c r="V170" s="93"/>
      <c r="W170" s="94"/>
    </row>
    <row r="171" spans="2:23" ht="18" customHeight="1" x14ac:dyDescent="0.4">
      <c r="B171" s="102"/>
      <c r="C171" s="103"/>
      <c r="D171" s="103"/>
      <c r="E171" s="103"/>
      <c r="F171" s="103"/>
      <c r="G171" s="103"/>
      <c r="H171" s="103"/>
      <c r="I171" s="103"/>
      <c r="J171" s="100"/>
      <c r="K171" s="100"/>
      <c r="L171" s="101"/>
      <c r="M171" s="102"/>
      <c r="N171" s="103"/>
      <c r="O171" s="103"/>
      <c r="P171" s="103"/>
      <c r="Q171" s="103"/>
      <c r="R171" s="103"/>
      <c r="S171" s="103"/>
      <c r="T171" s="103"/>
      <c r="U171" s="104">
        <f t="shared" si="62"/>
        <v>0</v>
      </c>
      <c r="V171" s="100"/>
      <c r="W171" s="101"/>
    </row>
    <row r="172" spans="2:23" ht="18" customHeight="1" x14ac:dyDescent="0.4">
      <c r="B172" s="102"/>
      <c r="C172" s="103"/>
      <c r="D172" s="103"/>
      <c r="E172" s="103"/>
      <c r="F172" s="103"/>
      <c r="G172" s="103"/>
      <c r="H172" s="103"/>
      <c r="I172" s="103"/>
      <c r="J172" s="100"/>
      <c r="K172" s="100"/>
      <c r="L172" s="101"/>
      <c r="M172" s="102"/>
      <c r="N172" s="103"/>
      <c r="O172" s="103"/>
      <c r="P172" s="103"/>
      <c r="Q172" s="103"/>
      <c r="R172" s="103"/>
      <c r="S172" s="103"/>
      <c r="T172" s="103"/>
      <c r="U172" s="104">
        <f t="shared" si="62"/>
        <v>0</v>
      </c>
      <c r="V172" s="100"/>
      <c r="W172" s="101"/>
    </row>
    <row r="173" spans="2:23" ht="18" customHeight="1" x14ac:dyDescent="0.4">
      <c r="B173" s="102"/>
      <c r="C173" s="103"/>
      <c r="D173" s="103"/>
      <c r="E173" s="103"/>
      <c r="F173" s="103"/>
      <c r="G173" s="103"/>
      <c r="H173" s="103"/>
      <c r="I173" s="103"/>
      <c r="J173" s="100"/>
      <c r="K173" s="100"/>
      <c r="L173" s="101"/>
      <c r="M173" s="102"/>
      <c r="N173" s="103"/>
      <c r="O173" s="103"/>
      <c r="P173" s="103"/>
      <c r="Q173" s="103"/>
      <c r="R173" s="103"/>
      <c r="S173" s="103"/>
      <c r="T173" s="103"/>
      <c r="U173" s="104">
        <f t="shared" si="62"/>
        <v>0</v>
      </c>
      <c r="V173" s="100"/>
      <c r="W173" s="101"/>
    </row>
    <row r="174" spans="2:23" ht="18" customHeight="1" x14ac:dyDescent="0.4">
      <c r="B174" s="102"/>
      <c r="C174" s="103"/>
      <c r="D174" s="103"/>
      <c r="E174" s="103"/>
      <c r="F174" s="103"/>
      <c r="G174" s="103"/>
      <c r="H174" s="103"/>
      <c r="I174" s="103"/>
      <c r="J174" s="100"/>
      <c r="K174" s="100"/>
      <c r="L174" s="101"/>
      <c r="M174" s="102"/>
      <c r="N174" s="103"/>
      <c r="O174" s="103"/>
      <c r="P174" s="103"/>
      <c r="Q174" s="103"/>
      <c r="R174" s="103"/>
      <c r="S174" s="103"/>
      <c r="T174" s="103"/>
      <c r="U174" s="104">
        <f t="shared" si="62"/>
        <v>0</v>
      </c>
      <c r="V174" s="100"/>
      <c r="W174" s="101"/>
    </row>
    <row r="175" spans="2:23" ht="18" customHeight="1" x14ac:dyDescent="0.4">
      <c r="B175" s="102"/>
      <c r="C175" s="103"/>
      <c r="D175" s="103"/>
      <c r="E175" s="103"/>
      <c r="F175" s="103"/>
      <c r="G175" s="103"/>
      <c r="H175" s="103"/>
      <c r="I175" s="103"/>
      <c r="J175" s="100"/>
      <c r="K175" s="100"/>
      <c r="L175" s="101"/>
      <c r="M175" s="102"/>
      <c r="N175" s="103"/>
      <c r="O175" s="103"/>
      <c r="P175" s="103"/>
      <c r="Q175" s="103"/>
      <c r="R175" s="103"/>
      <c r="S175" s="103"/>
      <c r="T175" s="103"/>
      <c r="U175" s="104">
        <f t="shared" si="62"/>
        <v>0</v>
      </c>
      <c r="V175" s="100"/>
      <c r="W175" s="101"/>
    </row>
    <row r="176" spans="2:23" ht="18" customHeight="1" x14ac:dyDescent="0.4">
      <c r="B176" s="102"/>
      <c r="C176" s="103"/>
      <c r="D176" s="103"/>
      <c r="E176" s="103"/>
      <c r="F176" s="103"/>
      <c r="G176" s="103"/>
      <c r="H176" s="103"/>
      <c r="I176" s="103"/>
      <c r="J176" s="100"/>
      <c r="K176" s="100"/>
      <c r="L176" s="101"/>
      <c r="M176" s="102"/>
      <c r="N176" s="103"/>
      <c r="O176" s="103"/>
      <c r="P176" s="103"/>
      <c r="Q176" s="103"/>
      <c r="R176" s="103"/>
      <c r="S176" s="103"/>
      <c r="T176" s="103"/>
      <c r="U176" s="104">
        <f t="shared" si="62"/>
        <v>0</v>
      </c>
      <c r="V176" s="100"/>
      <c r="W176" s="101"/>
    </row>
    <row r="177" spans="2:23" ht="18" customHeight="1" x14ac:dyDescent="0.4">
      <c r="B177" s="102"/>
      <c r="C177" s="103"/>
      <c r="D177" s="103"/>
      <c r="E177" s="103"/>
      <c r="F177" s="103"/>
      <c r="G177" s="103"/>
      <c r="H177" s="103"/>
      <c r="I177" s="103"/>
      <c r="J177" s="100"/>
      <c r="K177" s="100"/>
      <c r="L177" s="101"/>
      <c r="M177" s="102"/>
      <c r="N177" s="103"/>
      <c r="O177" s="103"/>
      <c r="P177" s="103"/>
      <c r="Q177" s="103"/>
      <c r="R177" s="103"/>
      <c r="S177" s="103"/>
      <c r="T177" s="103"/>
      <c r="U177" s="104">
        <f t="shared" si="62"/>
        <v>0</v>
      </c>
      <c r="V177" s="100"/>
      <c r="W177" s="101"/>
    </row>
    <row r="178" spans="2:23" ht="18" customHeight="1" x14ac:dyDescent="0.4">
      <c r="B178" s="102"/>
      <c r="C178" s="103"/>
      <c r="D178" s="103"/>
      <c r="E178" s="103"/>
      <c r="F178" s="103"/>
      <c r="G178" s="103"/>
      <c r="H178" s="103"/>
      <c r="I178" s="103"/>
      <c r="J178" s="100"/>
      <c r="K178" s="100"/>
      <c r="L178" s="101"/>
      <c r="M178" s="102"/>
      <c r="N178" s="103"/>
      <c r="O178" s="103"/>
      <c r="P178" s="103"/>
      <c r="Q178" s="103"/>
      <c r="R178" s="103"/>
      <c r="S178" s="103"/>
      <c r="T178" s="103"/>
      <c r="U178" s="104">
        <f t="shared" si="62"/>
        <v>0</v>
      </c>
      <c r="V178" s="100"/>
      <c r="W178" s="101"/>
    </row>
    <row r="179" spans="2:23" ht="18" customHeight="1" x14ac:dyDescent="0.4">
      <c r="B179" s="109"/>
      <c r="C179" s="110"/>
      <c r="D179" s="110"/>
      <c r="E179" s="110"/>
      <c r="F179" s="110"/>
      <c r="G179" s="110"/>
      <c r="H179" s="110"/>
      <c r="I179" s="110"/>
      <c r="J179" s="107"/>
      <c r="K179" s="107"/>
      <c r="L179" s="108"/>
      <c r="M179" s="109"/>
      <c r="N179" s="110"/>
      <c r="O179" s="110"/>
      <c r="P179" s="110"/>
      <c r="Q179" s="110"/>
      <c r="R179" s="110"/>
      <c r="S179" s="110"/>
      <c r="T179" s="110"/>
      <c r="U179" s="111">
        <f t="shared" si="62"/>
        <v>0</v>
      </c>
      <c r="V179" s="107"/>
      <c r="W179" s="108"/>
    </row>
    <row r="180" spans="2:23" ht="18" customHeight="1" x14ac:dyDescent="0.4">
      <c r="B180" s="86"/>
      <c r="C180" s="87"/>
      <c r="D180" s="87"/>
      <c r="E180" s="87"/>
      <c r="F180" s="87"/>
      <c r="G180" s="87"/>
      <c r="H180" s="87"/>
      <c r="I180" s="87"/>
      <c r="J180" s="88" t="s">
        <v>105</v>
      </c>
      <c r="K180" s="87"/>
      <c r="L180" s="89"/>
      <c r="M180" s="90">
        <f>B180</f>
        <v>0</v>
      </c>
      <c r="N180" s="87"/>
      <c r="O180" s="87"/>
      <c r="P180" s="87"/>
      <c r="Q180" s="87"/>
      <c r="R180" s="87"/>
      <c r="S180" s="87"/>
      <c r="T180" s="87"/>
      <c r="U180" s="88" t="s">
        <v>105</v>
      </c>
      <c r="V180" s="87"/>
      <c r="W180" s="89"/>
    </row>
    <row r="181" spans="2:23" ht="18" customHeight="1" x14ac:dyDescent="0.4">
      <c r="B181" s="95"/>
      <c r="C181" s="96"/>
      <c r="D181" s="96"/>
      <c r="E181" s="96"/>
      <c r="F181" s="96"/>
      <c r="G181" s="96"/>
      <c r="H181" s="96"/>
      <c r="I181" s="96"/>
      <c r="J181" s="93"/>
      <c r="K181" s="93"/>
      <c r="L181" s="94"/>
      <c r="M181" s="95"/>
      <c r="N181" s="96"/>
      <c r="O181" s="96"/>
      <c r="P181" s="96"/>
      <c r="Q181" s="96"/>
      <c r="R181" s="96"/>
      <c r="S181" s="96"/>
      <c r="T181" s="96"/>
      <c r="U181" s="97">
        <f t="shared" ref="U181:U190" si="63">J181</f>
        <v>0</v>
      </c>
      <c r="V181" s="93"/>
      <c r="W181" s="94"/>
    </row>
    <row r="182" spans="2:23" ht="18" customHeight="1" x14ac:dyDescent="0.4">
      <c r="B182" s="102"/>
      <c r="C182" s="103"/>
      <c r="D182" s="103"/>
      <c r="E182" s="103"/>
      <c r="F182" s="103"/>
      <c r="G182" s="103"/>
      <c r="H182" s="103"/>
      <c r="I182" s="103"/>
      <c r="J182" s="100"/>
      <c r="K182" s="100"/>
      <c r="L182" s="101"/>
      <c r="M182" s="102"/>
      <c r="N182" s="103"/>
      <c r="O182" s="103"/>
      <c r="P182" s="103"/>
      <c r="Q182" s="103"/>
      <c r="R182" s="103"/>
      <c r="S182" s="103"/>
      <c r="T182" s="103"/>
      <c r="U182" s="104">
        <f t="shared" si="63"/>
        <v>0</v>
      </c>
      <c r="V182" s="100"/>
      <c r="W182" s="101"/>
    </row>
    <row r="183" spans="2:23" ht="18" customHeight="1" x14ac:dyDescent="0.4">
      <c r="B183" s="102"/>
      <c r="C183" s="103"/>
      <c r="D183" s="103"/>
      <c r="E183" s="103"/>
      <c r="F183" s="103"/>
      <c r="G183" s="103"/>
      <c r="H183" s="103"/>
      <c r="I183" s="103"/>
      <c r="J183" s="100"/>
      <c r="K183" s="100"/>
      <c r="L183" s="101"/>
      <c r="M183" s="102"/>
      <c r="N183" s="103"/>
      <c r="O183" s="103"/>
      <c r="P183" s="103"/>
      <c r="Q183" s="103"/>
      <c r="R183" s="103"/>
      <c r="S183" s="103"/>
      <c r="T183" s="103"/>
      <c r="U183" s="104">
        <f t="shared" si="63"/>
        <v>0</v>
      </c>
      <c r="V183" s="100"/>
      <c r="W183" s="101"/>
    </row>
    <row r="184" spans="2:23" ht="18" customHeight="1" x14ac:dyDescent="0.4">
      <c r="B184" s="102"/>
      <c r="C184" s="103"/>
      <c r="D184" s="103"/>
      <c r="E184" s="103"/>
      <c r="F184" s="103"/>
      <c r="G184" s="103"/>
      <c r="H184" s="103"/>
      <c r="I184" s="103"/>
      <c r="J184" s="100"/>
      <c r="K184" s="100"/>
      <c r="L184" s="101"/>
      <c r="M184" s="102"/>
      <c r="N184" s="103"/>
      <c r="O184" s="103"/>
      <c r="P184" s="103"/>
      <c r="Q184" s="103"/>
      <c r="R184" s="103"/>
      <c r="S184" s="103"/>
      <c r="T184" s="103"/>
      <c r="U184" s="104">
        <f t="shared" si="63"/>
        <v>0</v>
      </c>
      <c r="V184" s="100"/>
      <c r="W184" s="101"/>
    </row>
    <row r="185" spans="2:23" ht="18" customHeight="1" x14ac:dyDescent="0.4">
      <c r="B185" s="102"/>
      <c r="C185" s="103"/>
      <c r="D185" s="103"/>
      <c r="E185" s="103"/>
      <c r="F185" s="103"/>
      <c r="G185" s="103"/>
      <c r="H185" s="103"/>
      <c r="I185" s="103"/>
      <c r="J185" s="100"/>
      <c r="K185" s="100"/>
      <c r="L185" s="101"/>
      <c r="M185" s="102"/>
      <c r="N185" s="103"/>
      <c r="O185" s="103"/>
      <c r="P185" s="103"/>
      <c r="Q185" s="103"/>
      <c r="R185" s="103"/>
      <c r="S185" s="103"/>
      <c r="T185" s="103"/>
      <c r="U185" s="104">
        <f t="shared" si="63"/>
        <v>0</v>
      </c>
      <c r="V185" s="100"/>
      <c r="W185" s="101"/>
    </row>
    <row r="186" spans="2:23" ht="18" customHeight="1" x14ac:dyDescent="0.4">
      <c r="B186" s="102"/>
      <c r="C186" s="103"/>
      <c r="D186" s="103"/>
      <c r="E186" s="103"/>
      <c r="F186" s="103"/>
      <c r="G186" s="103"/>
      <c r="H186" s="103"/>
      <c r="I186" s="103"/>
      <c r="J186" s="100"/>
      <c r="K186" s="100"/>
      <c r="L186" s="101"/>
      <c r="M186" s="102"/>
      <c r="N186" s="103"/>
      <c r="O186" s="103"/>
      <c r="P186" s="103"/>
      <c r="Q186" s="103"/>
      <c r="R186" s="103"/>
      <c r="S186" s="103"/>
      <c r="T186" s="103"/>
      <c r="U186" s="104">
        <f t="shared" si="63"/>
        <v>0</v>
      </c>
      <c r="V186" s="100"/>
      <c r="W186" s="101"/>
    </row>
    <row r="187" spans="2:23" ht="18" customHeight="1" x14ac:dyDescent="0.4">
      <c r="B187" s="102"/>
      <c r="C187" s="103"/>
      <c r="D187" s="103"/>
      <c r="E187" s="103"/>
      <c r="F187" s="103"/>
      <c r="G187" s="103"/>
      <c r="H187" s="103"/>
      <c r="I187" s="103"/>
      <c r="J187" s="100"/>
      <c r="K187" s="100"/>
      <c r="L187" s="101"/>
      <c r="M187" s="102"/>
      <c r="N187" s="103"/>
      <c r="O187" s="103"/>
      <c r="P187" s="103"/>
      <c r="Q187" s="103"/>
      <c r="R187" s="103"/>
      <c r="S187" s="103"/>
      <c r="T187" s="103"/>
      <c r="U187" s="104">
        <f t="shared" si="63"/>
        <v>0</v>
      </c>
      <c r="V187" s="100"/>
      <c r="W187" s="101"/>
    </row>
    <row r="188" spans="2:23" ht="18" customHeight="1" x14ac:dyDescent="0.4">
      <c r="B188" s="102"/>
      <c r="C188" s="103"/>
      <c r="D188" s="103"/>
      <c r="E188" s="103"/>
      <c r="F188" s="103"/>
      <c r="G188" s="103"/>
      <c r="H188" s="103"/>
      <c r="I188" s="103"/>
      <c r="J188" s="100"/>
      <c r="K188" s="100"/>
      <c r="L188" s="101"/>
      <c r="M188" s="102"/>
      <c r="N188" s="103"/>
      <c r="O188" s="103"/>
      <c r="P188" s="103"/>
      <c r="Q188" s="103"/>
      <c r="R188" s="103"/>
      <c r="S188" s="103"/>
      <c r="T188" s="103"/>
      <c r="U188" s="104">
        <f t="shared" si="63"/>
        <v>0</v>
      </c>
      <c r="V188" s="100"/>
      <c r="W188" s="101"/>
    </row>
    <row r="189" spans="2:23" ht="18" customHeight="1" x14ac:dyDescent="0.4">
      <c r="B189" s="102"/>
      <c r="C189" s="103"/>
      <c r="D189" s="103"/>
      <c r="E189" s="103"/>
      <c r="F189" s="103"/>
      <c r="G189" s="103"/>
      <c r="H189" s="103"/>
      <c r="I189" s="103"/>
      <c r="J189" s="100"/>
      <c r="K189" s="100"/>
      <c r="L189" s="101"/>
      <c r="M189" s="102"/>
      <c r="N189" s="103"/>
      <c r="O189" s="103"/>
      <c r="P189" s="103"/>
      <c r="Q189" s="103"/>
      <c r="R189" s="103"/>
      <c r="S189" s="103"/>
      <c r="T189" s="103"/>
      <c r="U189" s="104">
        <f t="shared" si="63"/>
        <v>0</v>
      </c>
      <c r="V189" s="100"/>
      <c r="W189" s="101"/>
    </row>
    <row r="190" spans="2:23" ht="18" customHeight="1" x14ac:dyDescent="0.4">
      <c r="B190" s="109"/>
      <c r="C190" s="110"/>
      <c r="D190" s="110"/>
      <c r="E190" s="110"/>
      <c r="F190" s="110"/>
      <c r="G190" s="110"/>
      <c r="H190" s="110"/>
      <c r="I190" s="110"/>
      <c r="J190" s="107"/>
      <c r="K190" s="107"/>
      <c r="L190" s="108"/>
      <c r="M190" s="109"/>
      <c r="N190" s="110"/>
      <c r="O190" s="110"/>
      <c r="P190" s="110"/>
      <c r="Q190" s="110"/>
      <c r="R190" s="110"/>
      <c r="S190" s="110"/>
      <c r="T190" s="110"/>
      <c r="U190" s="111">
        <f t="shared" si="63"/>
        <v>0</v>
      </c>
      <c r="V190" s="107"/>
      <c r="W190" s="108"/>
    </row>
    <row r="191" spans="2:23" ht="18" customHeight="1" x14ac:dyDescent="0.4">
      <c r="B191" s="86"/>
      <c r="C191" s="87"/>
      <c r="D191" s="87"/>
      <c r="E191" s="87"/>
      <c r="F191" s="87"/>
      <c r="G191" s="87"/>
      <c r="H191" s="87"/>
      <c r="I191" s="87"/>
      <c r="J191" s="88" t="s">
        <v>105</v>
      </c>
      <c r="K191" s="87"/>
      <c r="L191" s="89"/>
      <c r="M191" s="90">
        <f>B191</f>
        <v>0</v>
      </c>
      <c r="N191" s="87"/>
      <c r="O191" s="87"/>
      <c r="P191" s="87"/>
      <c r="Q191" s="87"/>
      <c r="R191" s="87"/>
      <c r="S191" s="87"/>
      <c r="T191" s="87"/>
      <c r="U191" s="88" t="s">
        <v>105</v>
      </c>
      <c r="V191" s="87"/>
      <c r="W191" s="89"/>
    </row>
    <row r="192" spans="2:23" ht="18" customHeight="1" x14ac:dyDescent="0.4">
      <c r="B192" s="95"/>
      <c r="C192" s="96"/>
      <c r="D192" s="96"/>
      <c r="E192" s="96"/>
      <c r="F192" s="96"/>
      <c r="G192" s="96"/>
      <c r="H192" s="96"/>
      <c r="I192" s="96"/>
      <c r="J192" s="93"/>
      <c r="K192" s="93"/>
      <c r="L192" s="94"/>
      <c r="M192" s="95"/>
      <c r="N192" s="96"/>
      <c r="O192" s="96"/>
      <c r="P192" s="96"/>
      <c r="Q192" s="96"/>
      <c r="R192" s="96"/>
      <c r="S192" s="96"/>
      <c r="T192" s="96"/>
      <c r="U192" s="97">
        <f t="shared" ref="U192:U201" si="64">J192</f>
        <v>0</v>
      </c>
      <c r="V192" s="93"/>
      <c r="W192" s="94"/>
    </row>
    <row r="193" spans="2:23" ht="18" customHeight="1" x14ac:dyDescent="0.4">
      <c r="B193" s="102"/>
      <c r="C193" s="103"/>
      <c r="D193" s="103"/>
      <c r="E193" s="103"/>
      <c r="F193" s="103"/>
      <c r="G193" s="103"/>
      <c r="H193" s="103"/>
      <c r="I193" s="103"/>
      <c r="J193" s="100"/>
      <c r="K193" s="100"/>
      <c r="L193" s="101"/>
      <c r="M193" s="102"/>
      <c r="N193" s="103"/>
      <c r="O193" s="103"/>
      <c r="P193" s="103"/>
      <c r="Q193" s="103"/>
      <c r="R193" s="103"/>
      <c r="S193" s="103"/>
      <c r="T193" s="103"/>
      <c r="U193" s="104">
        <f t="shared" si="64"/>
        <v>0</v>
      </c>
      <c r="V193" s="100"/>
      <c r="W193" s="101"/>
    </row>
    <row r="194" spans="2:23" ht="18" customHeight="1" x14ac:dyDescent="0.4">
      <c r="B194" s="102"/>
      <c r="C194" s="103"/>
      <c r="D194" s="103"/>
      <c r="E194" s="103"/>
      <c r="F194" s="103"/>
      <c r="G194" s="103"/>
      <c r="H194" s="103"/>
      <c r="I194" s="103"/>
      <c r="J194" s="100"/>
      <c r="K194" s="100"/>
      <c r="L194" s="101"/>
      <c r="M194" s="102"/>
      <c r="N194" s="103"/>
      <c r="O194" s="103"/>
      <c r="P194" s="103"/>
      <c r="Q194" s="103"/>
      <c r="R194" s="103"/>
      <c r="S194" s="103"/>
      <c r="T194" s="103"/>
      <c r="U194" s="104">
        <f t="shared" si="64"/>
        <v>0</v>
      </c>
      <c r="V194" s="100"/>
      <c r="W194" s="101"/>
    </row>
    <row r="195" spans="2:23" ht="18" customHeight="1" x14ac:dyDescent="0.4">
      <c r="B195" s="102"/>
      <c r="C195" s="103"/>
      <c r="D195" s="103"/>
      <c r="E195" s="103"/>
      <c r="F195" s="103"/>
      <c r="G195" s="103"/>
      <c r="H195" s="103"/>
      <c r="I195" s="103"/>
      <c r="J195" s="100"/>
      <c r="K195" s="100"/>
      <c r="L195" s="101"/>
      <c r="M195" s="102"/>
      <c r="N195" s="103"/>
      <c r="O195" s="103"/>
      <c r="P195" s="103"/>
      <c r="Q195" s="103"/>
      <c r="R195" s="103"/>
      <c r="S195" s="103"/>
      <c r="T195" s="103"/>
      <c r="U195" s="104">
        <f t="shared" si="64"/>
        <v>0</v>
      </c>
      <c r="V195" s="100"/>
      <c r="W195" s="101"/>
    </row>
    <row r="196" spans="2:23" ht="18" customHeight="1" x14ac:dyDescent="0.4">
      <c r="B196" s="102"/>
      <c r="C196" s="103"/>
      <c r="D196" s="103"/>
      <c r="E196" s="103"/>
      <c r="F196" s="103"/>
      <c r="G196" s="103"/>
      <c r="H196" s="103"/>
      <c r="I196" s="103"/>
      <c r="J196" s="100"/>
      <c r="K196" s="100"/>
      <c r="L196" s="101"/>
      <c r="M196" s="102"/>
      <c r="N196" s="103"/>
      <c r="O196" s="103"/>
      <c r="P196" s="103"/>
      <c r="Q196" s="103"/>
      <c r="R196" s="103"/>
      <c r="S196" s="103"/>
      <c r="T196" s="103"/>
      <c r="U196" s="104">
        <f t="shared" si="64"/>
        <v>0</v>
      </c>
      <c r="V196" s="100"/>
      <c r="W196" s="101"/>
    </row>
    <row r="197" spans="2:23" ht="18" customHeight="1" x14ac:dyDescent="0.4">
      <c r="B197" s="102"/>
      <c r="C197" s="103"/>
      <c r="D197" s="103"/>
      <c r="E197" s="103"/>
      <c r="F197" s="103"/>
      <c r="G197" s="103"/>
      <c r="H197" s="103"/>
      <c r="I197" s="103"/>
      <c r="J197" s="100"/>
      <c r="K197" s="100"/>
      <c r="L197" s="101"/>
      <c r="M197" s="102"/>
      <c r="N197" s="103"/>
      <c r="O197" s="103"/>
      <c r="P197" s="103"/>
      <c r="Q197" s="103"/>
      <c r="R197" s="103"/>
      <c r="S197" s="103"/>
      <c r="T197" s="103"/>
      <c r="U197" s="104">
        <f t="shared" si="64"/>
        <v>0</v>
      </c>
      <c r="V197" s="100"/>
      <c r="W197" s="101"/>
    </row>
    <row r="198" spans="2:23" ht="18" customHeight="1" x14ac:dyDescent="0.4">
      <c r="B198" s="102"/>
      <c r="C198" s="103"/>
      <c r="D198" s="103"/>
      <c r="E198" s="103"/>
      <c r="F198" s="103"/>
      <c r="G198" s="103"/>
      <c r="H198" s="103"/>
      <c r="I198" s="103"/>
      <c r="J198" s="100"/>
      <c r="K198" s="100"/>
      <c r="L198" s="101"/>
      <c r="M198" s="102"/>
      <c r="N198" s="103"/>
      <c r="O198" s="103"/>
      <c r="P198" s="103"/>
      <c r="Q198" s="103"/>
      <c r="R198" s="103"/>
      <c r="S198" s="103"/>
      <c r="T198" s="103"/>
      <c r="U198" s="104">
        <f t="shared" si="64"/>
        <v>0</v>
      </c>
      <c r="V198" s="100"/>
      <c r="W198" s="101"/>
    </row>
    <row r="199" spans="2:23" ht="18" customHeight="1" x14ac:dyDescent="0.4">
      <c r="B199" s="102"/>
      <c r="C199" s="103"/>
      <c r="D199" s="103"/>
      <c r="E199" s="103"/>
      <c r="F199" s="103"/>
      <c r="G199" s="103"/>
      <c r="H199" s="103"/>
      <c r="I199" s="103"/>
      <c r="J199" s="100"/>
      <c r="K199" s="100"/>
      <c r="L199" s="101"/>
      <c r="M199" s="102"/>
      <c r="N199" s="103"/>
      <c r="O199" s="103"/>
      <c r="P199" s="103"/>
      <c r="Q199" s="103"/>
      <c r="R199" s="103"/>
      <c r="S199" s="103"/>
      <c r="T199" s="103"/>
      <c r="U199" s="104">
        <f t="shared" si="64"/>
        <v>0</v>
      </c>
      <c r="V199" s="100"/>
      <c r="W199" s="101"/>
    </row>
    <row r="200" spans="2:23" ht="18" customHeight="1" x14ac:dyDescent="0.4">
      <c r="B200" s="102"/>
      <c r="C200" s="103"/>
      <c r="D200" s="103"/>
      <c r="E200" s="103"/>
      <c r="F200" s="103"/>
      <c r="G200" s="103"/>
      <c r="H200" s="103"/>
      <c r="I200" s="103"/>
      <c r="J200" s="100"/>
      <c r="K200" s="100"/>
      <c r="L200" s="101"/>
      <c r="M200" s="102"/>
      <c r="N200" s="103"/>
      <c r="O200" s="103"/>
      <c r="P200" s="103"/>
      <c r="Q200" s="103"/>
      <c r="R200" s="103"/>
      <c r="S200" s="103"/>
      <c r="T200" s="103"/>
      <c r="U200" s="104">
        <f t="shared" si="64"/>
        <v>0</v>
      </c>
      <c r="V200" s="100"/>
      <c r="W200" s="101"/>
    </row>
    <row r="201" spans="2:23" ht="18" customHeight="1" x14ac:dyDescent="0.4">
      <c r="B201" s="109"/>
      <c r="C201" s="110"/>
      <c r="D201" s="110"/>
      <c r="E201" s="110"/>
      <c r="F201" s="110"/>
      <c r="G201" s="110"/>
      <c r="H201" s="110"/>
      <c r="I201" s="110"/>
      <c r="J201" s="107"/>
      <c r="K201" s="107"/>
      <c r="L201" s="108"/>
      <c r="M201" s="109"/>
      <c r="N201" s="110"/>
      <c r="O201" s="110"/>
      <c r="P201" s="110"/>
      <c r="Q201" s="110"/>
      <c r="R201" s="110"/>
      <c r="S201" s="110"/>
      <c r="T201" s="110"/>
      <c r="U201" s="111">
        <f t="shared" si="64"/>
        <v>0</v>
      </c>
      <c r="V201" s="107"/>
      <c r="W201" s="108"/>
    </row>
    <row r="202" spans="2:23" ht="18" customHeight="1" x14ac:dyDescent="0.4">
      <c r="B202" s="86"/>
      <c r="C202" s="87"/>
      <c r="D202" s="87"/>
      <c r="E202" s="87"/>
      <c r="F202" s="87"/>
      <c r="G202" s="87"/>
      <c r="H202" s="87"/>
      <c r="I202" s="87"/>
      <c r="J202" s="88" t="s">
        <v>105</v>
      </c>
      <c r="K202" s="87"/>
      <c r="L202" s="89"/>
      <c r="M202" s="90">
        <f>B202</f>
        <v>0</v>
      </c>
      <c r="N202" s="87"/>
      <c r="O202" s="87"/>
      <c r="P202" s="87"/>
      <c r="Q202" s="87"/>
      <c r="R202" s="87"/>
      <c r="S202" s="87"/>
      <c r="T202" s="87"/>
      <c r="U202" s="88" t="s">
        <v>105</v>
      </c>
      <c r="V202" s="87"/>
      <c r="W202" s="89"/>
    </row>
    <row r="203" spans="2:23" ht="18" customHeight="1" x14ac:dyDescent="0.4">
      <c r="B203" s="95"/>
      <c r="C203" s="96"/>
      <c r="D203" s="96"/>
      <c r="E203" s="96"/>
      <c r="F203" s="96"/>
      <c r="G203" s="96"/>
      <c r="H203" s="96"/>
      <c r="I203" s="96"/>
      <c r="J203" s="93"/>
      <c r="K203" s="93"/>
      <c r="L203" s="94"/>
      <c r="M203" s="95"/>
      <c r="N203" s="96"/>
      <c r="O203" s="96"/>
      <c r="P203" s="96"/>
      <c r="Q203" s="96"/>
      <c r="R203" s="96"/>
      <c r="S203" s="96"/>
      <c r="T203" s="96"/>
      <c r="U203" s="97">
        <f t="shared" ref="U203:U212" si="65">J203</f>
        <v>0</v>
      </c>
      <c r="V203" s="93"/>
      <c r="W203" s="94"/>
    </row>
    <row r="204" spans="2:23" ht="18" customHeight="1" x14ac:dyDescent="0.4">
      <c r="B204" s="102"/>
      <c r="C204" s="103"/>
      <c r="D204" s="103"/>
      <c r="E204" s="103"/>
      <c r="F204" s="103"/>
      <c r="G204" s="103"/>
      <c r="H204" s="103"/>
      <c r="I204" s="103"/>
      <c r="J204" s="100"/>
      <c r="K204" s="100"/>
      <c r="L204" s="101"/>
      <c r="M204" s="102"/>
      <c r="N204" s="103"/>
      <c r="O204" s="103"/>
      <c r="P204" s="103"/>
      <c r="Q204" s="103"/>
      <c r="R204" s="103"/>
      <c r="S204" s="103"/>
      <c r="T204" s="103"/>
      <c r="U204" s="104">
        <f t="shared" si="65"/>
        <v>0</v>
      </c>
      <c r="V204" s="100"/>
      <c r="W204" s="101"/>
    </row>
    <row r="205" spans="2:23" ht="18" customHeight="1" x14ac:dyDescent="0.4">
      <c r="B205" s="102"/>
      <c r="C205" s="103"/>
      <c r="D205" s="103"/>
      <c r="E205" s="103"/>
      <c r="F205" s="103"/>
      <c r="G205" s="103"/>
      <c r="H205" s="103"/>
      <c r="I205" s="103"/>
      <c r="J205" s="100"/>
      <c r="K205" s="100"/>
      <c r="L205" s="101"/>
      <c r="M205" s="102"/>
      <c r="N205" s="103"/>
      <c r="O205" s="103"/>
      <c r="P205" s="103"/>
      <c r="Q205" s="103"/>
      <c r="R205" s="103"/>
      <c r="S205" s="103"/>
      <c r="T205" s="103"/>
      <c r="U205" s="104">
        <f t="shared" si="65"/>
        <v>0</v>
      </c>
      <c r="V205" s="100"/>
      <c r="W205" s="101"/>
    </row>
    <row r="206" spans="2:23" ht="18" customHeight="1" x14ac:dyDescent="0.4">
      <c r="B206" s="102"/>
      <c r="C206" s="103"/>
      <c r="D206" s="103"/>
      <c r="E206" s="103"/>
      <c r="F206" s="103"/>
      <c r="G206" s="103"/>
      <c r="H206" s="103"/>
      <c r="I206" s="103"/>
      <c r="J206" s="100"/>
      <c r="K206" s="100"/>
      <c r="L206" s="101"/>
      <c r="M206" s="102"/>
      <c r="N206" s="103"/>
      <c r="O206" s="103"/>
      <c r="P206" s="103"/>
      <c r="Q206" s="103"/>
      <c r="R206" s="103"/>
      <c r="S206" s="103"/>
      <c r="T206" s="103"/>
      <c r="U206" s="104">
        <f t="shared" si="65"/>
        <v>0</v>
      </c>
      <c r="V206" s="100"/>
      <c r="W206" s="101"/>
    </row>
    <row r="207" spans="2:23" ht="18" customHeight="1" x14ac:dyDescent="0.4">
      <c r="B207" s="102"/>
      <c r="C207" s="103"/>
      <c r="D207" s="103"/>
      <c r="E207" s="103"/>
      <c r="F207" s="103"/>
      <c r="G207" s="103"/>
      <c r="H207" s="103"/>
      <c r="I207" s="103"/>
      <c r="J207" s="100"/>
      <c r="K207" s="100"/>
      <c r="L207" s="101"/>
      <c r="M207" s="102"/>
      <c r="N207" s="103"/>
      <c r="O207" s="103"/>
      <c r="P207" s="103"/>
      <c r="Q207" s="103"/>
      <c r="R207" s="103"/>
      <c r="S207" s="103"/>
      <c r="T207" s="103"/>
      <c r="U207" s="104">
        <f t="shared" si="65"/>
        <v>0</v>
      </c>
      <c r="V207" s="100"/>
      <c r="W207" s="101"/>
    </row>
    <row r="208" spans="2:23" ht="18" customHeight="1" x14ac:dyDescent="0.4">
      <c r="B208" s="102"/>
      <c r="C208" s="103"/>
      <c r="D208" s="103"/>
      <c r="E208" s="103"/>
      <c r="F208" s="103"/>
      <c r="G208" s="103"/>
      <c r="H208" s="103"/>
      <c r="I208" s="103"/>
      <c r="J208" s="100"/>
      <c r="K208" s="100"/>
      <c r="L208" s="101"/>
      <c r="M208" s="102"/>
      <c r="N208" s="103"/>
      <c r="O208" s="103"/>
      <c r="P208" s="103"/>
      <c r="Q208" s="103"/>
      <c r="R208" s="103"/>
      <c r="S208" s="103"/>
      <c r="T208" s="103"/>
      <c r="U208" s="104">
        <f t="shared" si="65"/>
        <v>0</v>
      </c>
      <c r="V208" s="100"/>
      <c r="W208" s="101"/>
    </row>
    <row r="209" spans="2:23" ht="18" customHeight="1" x14ac:dyDescent="0.4">
      <c r="B209" s="102"/>
      <c r="C209" s="103"/>
      <c r="D209" s="103"/>
      <c r="E209" s="103"/>
      <c r="F209" s="103"/>
      <c r="G209" s="103"/>
      <c r="H209" s="103"/>
      <c r="I209" s="103"/>
      <c r="J209" s="100"/>
      <c r="K209" s="100"/>
      <c r="L209" s="101"/>
      <c r="M209" s="102"/>
      <c r="N209" s="103"/>
      <c r="O209" s="103"/>
      <c r="P209" s="103"/>
      <c r="Q209" s="103"/>
      <c r="R209" s="103"/>
      <c r="S209" s="103"/>
      <c r="T209" s="103"/>
      <c r="U209" s="104">
        <f t="shared" si="65"/>
        <v>0</v>
      </c>
      <c r="V209" s="100"/>
      <c r="W209" s="101"/>
    </row>
    <row r="210" spans="2:23" ht="18" customHeight="1" x14ac:dyDescent="0.4">
      <c r="B210" s="102"/>
      <c r="C210" s="103"/>
      <c r="D210" s="103"/>
      <c r="E210" s="103"/>
      <c r="F210" s="103"/>
      <c r="G210" s="103"/>
      <c r="H210" s="103"/>
      <c r="I210" s="103"/>
      <c r="J210" s="100"/>
      <c r="K210" s="100"/>
      <c r="L210" s="101"/>
      <c r="M210" s="102"/>
      <c r="N210" s="103"/>
      <c r="O210" s="103"/>
      <c r="P210" s="103"/>
      <c r="Q210" s="103"/>
      <c r="R210" s="103"/>
      <c r="S210" s="103"/>
      <c r="T210" s="103"/>
      <c r="U210" s="104">
        <f t="shared" si="65"/>
        <v>0</v>
      </c>
      <c r="V210" s="100"/>
      <c r="W210" s="101"/>
    </row>
    <row r="211" spans="2:23" ht="18" customHeight="1" x14ac:dyDescent="0.4">
      <c r="B211" s="102"/>
      <c r="C211" s="103"/>
      <c r="D211" s="103"/>
      <c r="E211" s="103"/>
      <c r="F211" s="103"/>
      <c r="G211" s="103"/>
      <c r="H211" s="103"/>
      <c r="I211" s="103"/>
      <c r="J211" s="100"/>
      <c r="K211" s="100"/>
      <c r="L211" s="101"/>
      <c r="M211" s="102"/>
      <c r="N211" s="103"/>
      <c r="O211" s="103"/>
      <c r="P211" s="103"/>
      <c r="Q211" s="103"/>
      <c r="R211" s="103"/>
      <c r="S211" s="103"/>
      <c r="T211" s="103"/>
      <c r="U211" s="104">
        <f t="shared" si="65"/>
        <v>0</v>
      </c>
      <c r="V211" s="100"/>
      <c r="W211" s="101"/>
    </row>
    <row r="212" spans="2:23" ht="18" customHeight="1" x14ac:dyDescent="0.4">
      <c r="B212" s="109"/>
      <c r="C212" s="110"/>
      <c r="D212" s="110"/>
      <c r="E212" s="110"/>
      <c r="F212" s="110"/>
      <c r="G212" s="110"/>
      <c r="H212" s="110"/>
      <c r="I212" s="110"/>
      <c r="J212" s="107"/>
      <c r="K212" s="107"/>
      <c r="L212" s="108"/>
      <c r="M212" s="109"/>
      <c r="N212" s="110"/>
      <c r="O212" s="110"/>
      <c r="P212" s="110"/>
      <c r="Q212" s="110"/>
      <c r="R212" s="110"/>
      <c r="S212" s="110"/>
      <c r="T212" s="110"/>
      <c r="U212" s="111">
        <f t="shared" si="65"/>
        <v>0</v>
      </c>
      <c r="V212" s="107"/>
      <c r="W212" s="108"/>
    </row>
    <row r="213" spans="2:23" ht="18" customHeight="1" x14ac:dyDescent="0.4">
      <c r="B213" s="86"/>
      <c r="C213" s="87"/>
      <c r="D213" s="87"/>
      <c r="E213" s="87"/>
      <c r="F213" s="87"/>
      <c r="G213" s="87"/>
      <c r="H213" s="87"/>
      <c r="I213" s="87"/>
      <c r="J213" s="88" t="s">
        <v>105</v>
      </c>
      <c r="K213" s="87"/>
      <c r="L213" s="89"/>
      <c r="M213" s="90">
        <f>B213</f>
        <v>0</v>
      </c>
      <c r="N213" s="87"/>
      <c r="O213" s="87"/>
      <c r="P213" s="87"/>
      <c r="Q213" s="87"/>
      <c r="R213" s="87"/>
      <c r="S213" s="87"/>
      <c r="T213" s="87"/>
      <c r="U213" s="88" t="s">
        <v>105</v>
      </c>
      <c r="V213" s="87"/>
      <c r="W213" s="89"/>
    </row>
    <row r="214" spans="2:23" ht="18" customHeight="1" x14ac:dyDescent="0.4">
      <c r="B214" s="95"/>
      <c r="C214" s="96"/>
      <c r="D214" s="96"/>
      <c r="E214" s="96"/>
      <c r="F214" s="96"/>
      <c r="G214" s="96"/>
      <c r="H214" s="96"/>
      <c r="I214" s="96"/>
      <c r="J214" s="93"/>
      <c r="K214" s="93"/>
      <c r="L214" s="94"/>
      <c r="M214" s="95"/>
      <c r="N214" s="96"/>
      <c r="O214" s="96"/>
      <c r="P214" s="96"/>
      <c r="Q214" s="96"/>
      <c r="R214" s="96"/>
      <c r="S214" s="96"/>
      <c r="T214" s="96"/>
      <c r="U214" s="97">
        <f t="shared" ref="U214:U223" si="66">J214</f>
        <v>0</v>
      </c>
      <c r="V214" s="93"/>
      <c r="W214" s="94"/>
    </row>
    <row r="215" spans="2:23" ht="18" customHeight="1" x14ac:dyDescent="0.4">
      <c r="B215" s="102"/>
      <c r="C215" s="103"/>
      <c r="D215" s="103"/>
      <c r="E215" s="103"/>
      <c r="F215" s="103"/>
      <c r="G215" s="103"/>
      <c r="H215" s="103"/>
      <c r="I215" s="103"/>
      <c r="J215" s="100"/>
      <c r="K215" s="100"/>
      <c r="L215" s="101"/>
      <c r="M215" s="102"/>
      <c r="N215" s="103"/>
      <c r="O215" s="103"/>
      <c r="P215" s="103"/>
      <c r="Q215" s="103"/>
      <c r="R215" s="103"/>
      <c r="S215" s="103"/>
      <c r="T215" s="103"/>
      <c r="U215" s="104">
        <f t="shared" si="66"/>
        <v>0</v>
      </c>
      <c r="V215" s="100"/>
      <c r="W215" s="101"/>
    </row>
    <row r="216" spans="2:23" ht="18" customHeight="1" x14ac:dyDescent="0.4">
      <c r="B216" s="102"/>
      <c r="C216" s="103"/>
      <c r="D216" s="103"/>
      <c r="E216" s="103"/>
      <c r="F216" s="103"/>
      <c r="G216" s="103"/>
      <c r="H216" s="103"/>
      <c r="I216" s="103"/>
      <c r="J216" s="100"/>
      <c r="K216" s="100"/>
      <c r="L216" s="101"/>
      <c r="M216" s="102"/>
      <c r="N216" s="103"/>
      <c r="O216" s="103"/>
      <c r="P216" s="103"/>
      <c r="Q216" s="103"/>
      <c r="R216" s="103"/>
      <c r="S216" s="103"/>
      <c r="T216" s="103"/>
      <c r="U216" s="104">
        <f t="shared" si="66"/>
        <v>0</v>
      </c>
      <c r="V216" s="100"/>
      <c r="W216" s="101"/>
    </row>
    <row r="217" spans="2:23" ht="18" customHeight="1" x14ac:dyDescent="0.4">
      <c r="B217" s="102"/>
      <c r="C217" s="103"/>
      <c r="D217" s="103"/>
      <c r="E217" s="103"/>
      <c r="F217" s="103"/>
      <c r="G217" s="103"/>
      <c r="H217" s="103"/>
      <c r="I217" s="103"/>
      <c r="J217" s="100"/>
      <c r="K217" s="100"/>
      <c r="L217" s="101"/>
      <c r="M217" s="102"/>
      <c r="N217" s="103"/>
      <c r="O217" s="103"/>
      <c r="P217" s="103"/>
      <c r="Q217" s="103"/>
      <c r="R217" s="103"/>
      <c r="S217" s="103"/>
      <c r="T217" s="103"/>
      <c r="U217" s="104">
        <f t="shared" si="66"/>
        <v>0</v>
      </c>
      <c r="V217" s="100"/>
      <c r="W217" s="101"/>
    </row>
    <row r="218" spans="2:23" ht="18" customHeight="1" x14ac:dyDescent="0.4">
      <c r="B218" s="102"/>
      <c r="C218" s="103"/>
      <c r="D218" s="103"/>
      <c r="E218" s="103"/>
      <c r="F218" s="103"/>
      <c r="G218" s="103"/>
      <c r="H218" s="103"/>
      <c r="I218" s="103"/>
      <c r="J218" s="100"/>
      <c r="K218" s="100"/>
      <c r="L218" s="101"/>
      <c r="M218" s="102"/>
      <c r="N218" s="103"/>
      <c r="O218" s="103"/>
      <c r="P218" s="103"/>
      <c r="Q218" s="103"/>
      <c r="R218" s="103"/>
      <c r="S218" s="103"/>
      <c r="T218" s="103"/>
      <c r="U218" s="104">
        <f t="shared" si="66"/>
        <v>0</v>
      </c>
      <c r="V218" s="100"/>
      <c r="W218" s="101"/>
    </row>
    <row r="219" spans="2:23" ht="18" customHeight="1" x14ac:dyDescent="0.4">
      <c r="B219" s="102"/>
      <c r="C219" s="103"/>
      <c r="D219" s="103"/>
      <c r="E219" s="103"/>
      <c r="F219" s="103"/>
      <c r="G219" s="103"/>
      <c r="H219" s="103"/>
      <c r="I219" s="103"/>
      <c r="J219" s="100"/>
      <c r="K219" s="100"/>
      <c r="L219" s="101"/>
      <c r="M219" s="102"/>
      <c r="N219" s="103"/>
      <c r="O219" s="103"/>
      <c r="P219" s="103"/>
      <c r="Q219" s="103"/>
      <c r="R219" s="103"/>
      <c r="S219" s="103"/>
      <c r="T219" s="103"/>
      <c r="U219" s="104">
        <f t="shared" si="66"/>
        <v>0</v>
      </c>
      <c r="V219" s="100"/>
      <c r="W219" s="101"/>
    </row>
    <row r="220" spans="2:23" ht="18" customHeight="1" x14ac:dyDescent="0.4">
      <c r="B220" s="102"/>
      <c r="C220" s="103"/>
      <c r="D220" s="103"/>
      <c r="E220" s="103"/>
      <c r="F220" s="103"/>
      <c r="G220" s="103"/>
      <c r="H220" s="103"/>
      <c r="I220" s="103"/>
      <c r="J220" s="100"/>
      <c r="K220" s="100"/>
      <c r="L220" s="101"/>
      <c r="M220" s="102"/>
      <c r="N220" s="103"/>
      <c r="O220" s="103"/>
      <c r="P220" s="103"/>
      <c r="Q220" s="103"/>
      <c r="R220" s="103"/>
      <c r="S220" s="103"/>
      <c r="T220" s="103"/>
      <c r="U220" s="104">
        <f t="shared" si="66"/>
        <v>0</v>
      </c>
      <c r="V220" s="100"/>
      <c r="W220" s="101"/>
    </row>
    <row r="221" spans="2:23" ht="18" customHeight="1" x14ac:dyDescent="0.4">
      <c r="B221" s="102"/>
      <c r="C221" s="103"/>
      <c r="D221" s="103"/>
      <c r="E221" s="103"/>
      <c r="F221" s="103"/>
      <c r="G221" s="103"/>
      <c r="H221" s="103"/>
      <c r="I221" s="103"/>
      <c r="J221" s="100"/>
      <c r="K221" s="100"/>
      <c r="L221" s="101"/>
      <c r="M221" s="102"/>
      <c r="N221" s="103"/>
      <c r="O221" s="103"/>
      <c r="P221" s="103"/>
      <c r="Q221" s="103"/>
      <c r="R221" s="103"/>
      <c r="S221" s="103"/>
      <c r="T221" s="103"/>
      <c r="U221" s="104">
        <f t="shared" si="66"/>
        <v>0</v>
      </c>
      <c r="V221" s="100"/>
      <c r="W221" s="101"/>
    </row>
    <row r="222" spans="2:23" ht="18" customHeight="1" x14ac:dyDescent="0.4">
      <c r="B222" s="102"/>
      <c r="C222" s="103"/>
      <c r="D222" s="103"/>
      <c r="E222" s="103"/>
      <c r="F222" s="103"/>
      <c r="G222" s="103"/>
      <c r="H222" s="103"/>
      <c r="I222" s="103"/>
      <c r="J222" s="100"/>
      <c r="K222" s="100"/>
      <c r="L222" s="101"/>
      <c r="M222" s="102"/>
      <c r="N222" s="103"/>
      <c r="O222" s="103"/>
      <c r="P222" s="103"/>
      <c r="Q222" s="103"/>
      <c r="R222" s="103"/>
      <c r="S222" s="103"/>
      <c r="T222" s="103"/>
      <c r="U222" s="104">
        <f t="shared" si="66"/>
        <v>0</v>
      </c>
      <c r="V222" s="100"/>
      <c r="W222" s="101"/>
    </row>
    <row r="223" spans="2:23" ht="18" customHeight="1" x14ac:dyDescent="0.4">
      <c r="B223" s="109"/>
      <c r="C223" s="110"/>
      <c r="D223" s="110"/>
      <c r="E223" s="110"/>
      <c r="F223" s="110"/>
      <c r="G223" s="110"/>
      <c r="H223" s="110"/>
      <c r="I223" s="110"/>
      <c r="J223" s="107"/>
      <c r="K223" s="107"/>
      <c r="L223" s="108"/>
      <c r="M223" s="109"/>
      <c r="N223" s="110"/>
      <c r="O223" s="110"/>
      <c r="P223" s="110"/>
      <c r="Q223" s="110"/>
      <c r="R223" s="110"/>
      <c r="S223" s="110"/>
      <c r="T223" s="110"/>
      <c r="U223" s="111">
        <f t="shared" si="66"/>
        <v>0</v>
      </c>
      <c r="V223" s="107"/>
      <c r="W223" s="108"/>
    </row>
    <row r="224" spans="2:23" ht="18" customHeight="1" x14ac:dyDescent="0.4">
      <c r="B224" s="86"/>
      <c r="C224" s="87"/>
      <c r="D224" s="87"/>
      <c r="E224" s="87"/>
      <c r="F224" s="87"/>
      <c r="G224" s="87"/>
      <c r="H224" s="87"/>
      <c r="I224" s="87"/>
      <c r="J224" s="88" t="s">
        <v>105</v>
      </c>
      <c r="K224" s="87"/>
      <c r="L224" s="89"/>
      <c r="M224" s="90">
        <f>B224</f>
        <v>0</v>
      </c>
      <c r="N224" s="87"/>
      <c r="O224" s="87"/>
      <c r="P224" s="87"/>
      <c r="Q224" s="87"/>
      <c r="R224" s="87"/>
      <c r="S224" s="87"/>
      <c r="T224" s="87"/>
      <c r="U224" s="88" t="s">
        <v>105</v>
      </c>
      <c r="V224" s="87"/>
      <c r="W224" s="89"/>
    </row>
    <row r="225" spans="2:23" ht="18" customHeight="1" x14ac:dyDescent="0.4">
      <c r="B225" s="95"/>
      <c r="C225" s="96"/>
      <c r="D225" s="96"/>
      <c r="E225" s="96"/>
      <c r="F225" s="96"/>
      <c r="G225" s="96"/>
      <c r="H225" s="96"/>
      <c r="I225" s="96"/>
      <c r="J225" s="93"/>
      <c r="K225" s="93"/>
      <c r="L225" s="94"/>
      <c r="M225" s="95"/>
      <c r="N225" s="96"/>
      <c r="O225" s="96"/>
      <c r="P225" s="96"/>
      <c r="Q225" s="96"/>
      <c r="R225" s="96"/>
      <c r="S225" s="96"/>
      <c r="T225" s="96"/>
      <c r="U225" s="97">
        <f t="shared" ref="U225:U234" si="67">J225</f>
        <v>0</v>
      </c>
      <c r="V225" s="93"/>
      <c r="W225" s="94"/>
    </row>
    <row r="226" spans="2:23" ht="18" customHeight="1" x14ac:dyDescent="0.4">
      <c r="B226" s="102"/>
      <c r="C226" s="103"/>
      <c r="D226" s="103"/>
      <c r="E226" s="103"/>
      <c r="F226" s="103"/>
      <c r="G226" s="103"/>
      <c r="H226" s="103"/>
      <c r="I226" s="103"/>
      <c r="J226" s="100"/>
      <c r="K226" s="100"/>
      <c r="L226" s="101"/>
      <c r="M226" s="102"/>
      <c r="N226" s="103"/>
      <c r="O226" s="103"/>
      <c r="P226" s="103"/>
      <c r="Q226" s="103"/>
      <c r="R226" s="103"/>
      <c r="S226" s="103"/>
      <c r="T226" s="103"/>
      <c r="U226" s="104">
        <f t="shared" si="67"/>
        <v>0</v>
      </c>
      <c r="V226" s="100"/>
      <c r="W226" s="101"/>
    </row>
    <row r="227" spans="2:23" ht="18" customHeight="1" x14ac:dyDescent="0.4">
      <c r="B227" s="102"/>
      <c r="C227" s="103"/>
      <c r="D227" s="103"/>
      <c r="E227" s="103"/>
      <c r="F227" s="103"/>
      <c r="G227" s="103"/>
      <c r="H227" s="103"/>
      <c r="I227" s="103"/>
      <c r="J227" s="100"/>
      <c r="K227" s="100"/>
      <c r="L227" s="101"/>
      <c r="M227" s="102"/>
      <c r="N227" s="103"/>
      <c r="O227" s="103"/>
      <c r="P227" s="103"/>
      <c r="Q227" s="103"/>
      <c r="R227" s="103"/>
      <c r="S227" s="103"/>
      <c r="T227" s="103"/>
      <c r="U227" s="104">
        <f t="shared" si="67"/>
        <v>0</v>
      </c>
      <c r="V227" s="100"/>
      <c r="W227" s="101"/>
    </row>
    <row r="228" spans="2:23" ht="18" customHeight="1" x14ac:dyDescent="0.4">
      <c r="B228" s="102"/>
      <c r="C228" s="103"/>
      <c r="D228" s="103"/>
      <c r="E228" s="103"/>
      <c r="F228" s="103"/>
      <c r="G228" s="103"/>
      <c r="H228" s="103"/>
      <c r="I228" s="103"/>
      <c r="J228" s="100"/>
      <c r="K228" s="100"/>
      <c r="L228" s="101"/>
      <c r="M228" s="102"/>
      <c r="N228" s="103"/>
      <c r="O228" s="103"/>
      <c r="P228" s="103"/>
      <c r="Q228" s="103"/>
      <c r="R228" s="103"/>
      <c r="S228" s="103"/>
      <c r="T228" s="103"/>
      <c r="U228" s="104">
        <f t="shared" si="67"/>
        <v>0</v>
      </c>
      <c r="V228" s="100"/>
      <c r="W228" s="101"/>
    </row>
    <row r="229" spans="2:23" ht="18" customHeight="1" x14ac:dyDescent="0.4">
      <c r="B229" s="102"/>
      <c r="C229" s="103"/>
      <c r="D229" s="103"/>
      <c r="E229" s="103"/>
      <c r="F229" s="103"/>
      <c r="G229" s="103"/>
      <c r="H229" s="103"/>
      <c r="I229" s="103"/>
      <c r="J229" s="100"/>
      <c r="K229" s="100"/>
      <c r="L229" s="101"/>
      <c r="M229" s="102"/>
      <c r="N229" s="103"/>
      <c r="O229" s="103"/>
      <c r="P229" s="103"/>
      <c r="Q229" s="103"/>
      <c r="R229" s="103"/>
      <c r="S229" s="103"/>
      <c r="T229" s="103"/>
      <c r="U229" s="104">
        <f t="shared" si="67"/>
        <v>0</v>
      </c>
      <c r="V229" s="100"/>
      <c r="W229" s="101"/>
    </row>
    <row r="230" spans="2:23" ht="18" customHeight="1" x14ac:dyDescent="0.4">
      <c r="B230" s="102"/>
      <c r="C230" s="103"/>
      <c r="D230" s="103"/>
      <c r="E230" s="103"/>
      <c r="F230" s="103"/>
      <c r="G230" s="103"/>
      <c r="H230" s="103"/>
      <c r="I230" s="103"/>
      <c r="J230" s="100"/>
      <c r="K230" s="100"/>
      <c r="L230" s="101"/>
      <c r="M230" s="102"/>
      <c r="N230" s="103"/>
      <c r="O230" s="103"/>
      <c r="P230" s="103"/>
      <c r="Q230" s="103"/>
      <c r="R230" s="103"/>
      <c r="S230" s="103"/>
      <c r="T230" s="103"/>
      <c r="U230" s="104">
        <f t="shared" si="67"/>
        <v>0</v>
      </c>
      <c r="V230" s="100"/>
      <c r="W230" s="101"/>
    </row>
    <row r="231" spans="2:23" ht="18" customHeight="1" x14ac:dyDescent="0.4">
      <c r="B231" s="102"/>
      <c r="C231" s="103"/>
      <c r="D231" s="103"/>
      <c r="E231" s="103"/>
      <c r="F231" s="103"/>
      <c r="G231" s="103"/>
      <c r="H231" s="103"/>
      <c r="I231" s="103"/>
      <c r="J231" s="100"/>
      <c r="K231" s="100"/>
      <c r="L231" s="101"/>
      <c r="M231" s="102"/>
      <c r="N231" s="103"/>
      <c r="O231" s="103"/>
      <c r="P231" s="103"/>
      <c r="Q231" s="103"/>
      <c r="R231" s="103"/>
      <c r="S231" s="103"/>
      <c r="T231" s="103"/>
      <c r="U231" s="104">
        <f t="shared" si="67"/>
        <v>0</v>
      </c>
      <c r="V231" s="100"/>
      <c r="W231" s="101"/>
    </row>
    <row r="232" spans="2:23" ht="18" customHeight="1" x14ac:dyDescent="0.4">
      <c r="B232" s="102"/>
      <c r="C232" s="103"/>
      <c r="D232" s="103"/>
      <c r="E232" s="103"/>
      <c r="F232" s="103"/>
      <c r="G232" s="103"/>
      <c r="H232" s="103"/>
      <c r="I232" s="103"/>
      <c r="J232" s="100"/>
      <c r="K232" s="100"/>
      <c r="L232" s="101"/>
      <c r="M232" s="102"/>
      <c r="N232" s="103"/>
      <c r="O232" s="103"/>
      <c r="P232" s="103"/>
      <c r="Q232" s="103"/>
      <c r="R232" s="103"/>
      <c r="S232" s="103"/>
      <c r="T232" s="103"/>
      <c r="U232" s="104">
        <f t="shared" si="67"/>
        <v>0</v>
      </c>
      <c r="V232" s="100"/>
      <c r="W232" s="101"/>
    </row>
    <row r="233" spans="2:23" ht="18" customHeight="1" x14ac:dyDescent="0.4">
      <c r="B233" s="102"/>
      <c r="C233" s="103"/>
      <c r="D233" s="103"/>
      <c r="E233" s="103"/>
      <c r="F233" s="103"/>
      <c r="G233" s="103"/>
      <c r="H233" s="103"/>
      <c r="I233" s="103"/>
      <c r="J233" s="100"/>
      <c r="K233" s="100"/>
      <c r="L233" s="101"/>
      <c r="M233" s="102"/>
      <c r="N233" s="103"/>
      <c r="O233" s="103"/>
      <c r="P233" s="103"/>
      <c r="Q233" s="103"/>
      <c r="R233" s="103"/>
      <c r="S233" s="103"/>
      <c r="T233" s="103"/>
      <c r="U233" s="104">
        <f t="shared" si="67"/>
        <v>0</v>
      </c>
      <c r="V233" s="100"/>
      <c r="W233" s="101"/>
    </row>
    <row r="234" spans="2:23" ht="18" customHeight="1" x14ac:dyDescent="0.4">
      <c r="B234" s="109"/>
      <c r="C234" s="110"/>
      <c r="D234" s="110"/>
      <c r="E234" s="110"/>
      <c r="F234" s="110"/>
      <c r="G234" s="110"/>
      <c r="H234" s="110"/>
      <c r="I234" s="110"/>
      <c r="J234" s="107"/>
      <c r="K234" s="107"/>
      <c r="L234" s="108"/>
      <c r="M234" s="109"/>
      <c r="N234" s="110"/>
      <c r="O234" s="110"/>
      <c r="P234" s="110"/>
      <c r="Q234" s="110"/>
      <c r="R234" s="110"/>
      <c r="S234" s="110"/>
      <c r="T234" s="110"/>
      <c r="U234" s="111">
        <f t="shared" si="67"/>
        <v>0</v>
      </c>
      <c r="V234" s="107"/>
      <c r="W234" s="108"/>
    </row>
    <row r="235" spans="2:23" ht="18" customHeight="1" x14ac:dyDescent="0.4">
      <c r="B235" s="86"/>
      <c r="C235" s="87"/>
      <c r="D235" s="87"/>
      <c r="E235" s="87"/>
      <c r="F235" s="87"/>
      <c r="G235" s="87"/>
      <c r="H235" s="87"/>
      <c r="I235" s="87"/>
      <c r="J235" s="88" t="s">
        <v>105</v>
      </c>
      <c r="K235" s="87"/>
      <c r="L235" s="89"/>
      <c r="M235" s="90">
        <f>B235</f>
        <v>0</v>
      </c>
      <c r="N235" s="87"/>
      <c r="O235" s="87"/>
      <c r="P235" s="87"/>
      <c r="Q235" s="87"/>
      <c r="R235" s="87"/>
      <c r="S235" s="87"/>
      <c r="T235" s="87"/>
      <c r="U235" s="88" t="s">
        <v>105</v>
      </c>
      <c r="V235" s="87"/>
      <c r="W235" s="89"/>
    </row>
    <row r="236" spans="2:23" ht="18" customHeight="1" x14ac:dyDescent="0.4">
      <c r="B236" s="95"/>
      <c r="C236" s="96"/>
      <c r="D236" s="96"/>
      <c r="E236" s="96"/>
      <c r="F236" s="96"/>
      <c r="G236" s="96"/>
      <c r="H236" s="96"/>
      <c r="I236" s="96"/>
      <c r="J236" s="93"/>
      <c r="K236" s="93"/>
      <c r="L236" s="94"/>
      <c r="M236" s="95"/>
      <c r="N236" s="96"/>
      <c r="O236" s="96"/>
      <c r="P236" s="96"/>
      <c r="Q236" s="96"/>
      <c r="R236" s="96"/>
      <c r="S236" s="96"/>
      <c r="T236" s="96"/>
      <c r="U236" s="97">
        <f t="shared" ref="U236:U245" si="68">J236</f>
        <v>0</v>
      </c>
      <c r="V236" s="93"/>
      <c r="W236" s="94"/>
    </row>
    <row r="237" spans="2:23" ht="18" customHeight="1" x14ac:dyDescent="0.4">
      <c r="B237" s="102"/>
      <c r="C237" s="103"/>
      <c r="D237" s="103"/>
      <c r="E237" s="103"/>
      <c r="F237" s="103"/>
      <c r="G237" s="103"/>
      <c r="H237" s="103"/>
      <c r="I237" s="103"/>
      <c r="J237" s="100"/>
      <c r="K237" s="100"/>
      <c r="L237" s="101"/>
      <c r="M237" s="102"/>
      <c r="N237" s="103"/>
      <c r="O237" s="103"/>
      <c r="P237" s="103"/>
      <c r="Q237" s="103"/>
      <c r="R237" s="103"/>
      <c r="S237" s="103"/>
      <c r="T237" s="103"/>
      <c r="U237" s="104">
        <f t="shared" si="68"/>
        <v>0</v>
      </c>
      <c r="V237" s="100"/>
      <c r="W237" s="101"/>
    </row>
    <row r="238" spans="2:23" ht="18" customHeight="1" x14ac:dyDescent="0.4">
      <c r="B238" s="102"/>
      <c r="C238" s="103"/>
      <c r="D238" s="103"/>
      <c r="E238" s="103"/>
      <c r="F238" s="103"/>
      <c r="G238" s="103"/>
      <c r="H238" s="103"/>
      <c r="I238" s="103"/>
      <c r="J238" s="100"/>
      <c r="K238" s="100"/>
      <c r="L238" s="101"/>
      <c r="M238" s="102"/>
      <c r="N238" s="103"/>
      <c r="O238" s="103"/>
      <c r="P238" s="103"/>
      <c r="Q238" s="103"/>
      <c r="R238" s="103"/>
      <c r="S238" s="103"/>
      <c r="T238" s="103"/>
      <c r="U238" s="104">
        <f t="shared" si="68"/>
        <v>0</v>
      </c>
      <c r="V238" s="100"/>
      <c r="W238" s="101"/>
    </row>
    <row r="239" spans="2:23" ht="18" customHeight="1" x14ac:dyDescent="0.4">
      <c r="B239" s="102"/>
      <c r="C239" s="103"/>
      <c r="D239" s="103"/>
      <c r="E239" s="103"/>
      <c r="F239" s="103"/>
      <c r="G239" s="103"/>
      <c r="H239" s="103"/>
      <c r="I239" s="103"/>
      <c r="J239" s="100"/>
      <c r="K239" s="100"/>
      <c r="L239" s="101"/>
      <c r="M239" s="102"/>
      <c r="N239" s="103"/>
      <c r="O239" s="103"/>
      <c r="P239" s="103"/>
      <c r="Q239" s="103"/>
      <c r="R239" s="103"/>
      <c r="S239" s="103"/>
      <c r="T239" s="103"/>
      <c r="U239" s="104">
        <f t="shared" si="68"/>
        <v>0</v>
      </c>
      <c r="V239" s="100"/>
      <c r="W239" s="101"/>
    </row>
    <row r="240" spans="2:23" ht="18" customHeight="1" x14ac:dyDescent="0.4">
      <c r="B240" s="102"/>
      <c r="C240" s="103"/>
      <c r="D240" s="103"/>
      <c r="E240" s="103"/>
      <c r="F240" s="103"/>
      <c r="G240" s="103"/>
      <c r="H240" s="103"/>
      <c r="I240" s="103"/>
      <c r="J240" s="100"/>
      <c r="K240" s="100"/>
      <c r="L240" s="101"/>
      <c r="M240" s="102"/>
      <c r="N240" s="103"/>
      <c r="O240" s="103"/>
      <c r="P240" s="103"/>
      <c r="Q240" s="103"/>
      <c r="R240" s="103"/>
      <c r="S240" s="103"/>
      <c r="T240" s="103"/>
      <c r="U240" s="104">
        <f t="shared" si="68"/>
        <v>0</v>
      </c>
      <c r="V240" s="100"/>
      <c r="W240" s="101"/>
    </row>
    <row r="241" spans="2:23" ht="18" customHeight="1" x14ac:dyDescent="0.4">
      <c r="B241" s="102"/>
      <c r="C241" s="103"/>
      <c r="D241" s="103"/>
      <c r="E241" s="103"/>
      <c r="F241" s="103"/>
      <c r="G241" s="103"/>
      <c r="H241" s="103"/>
      <c r="I241" s="103"/>
      <c r="J241" s="100"/>
      <c r="K241" s="100"/>
      <c r="L241" s="101"/>
      <c r="M241" s="102"/>
      <c r="N241" s="103"/>
      <c r="O241" s="103"/>
      <c r="P241" s="103"/>
      <c r="Q241" s="103"/>
      <c r="R241" s="103"/>
      <c r="S241" s="103"/>
      <c r="T241" s="103"/>
      <c r="U241" s="104">
        <f t="shared" si="68"/>
        <v>0</v>
      </c>
      <c r="V241" s="100"/>
      <c r="W241" s="101"/>
    </row>
    <row r="242" spans="2:23" ht="18" customHeight="1" x14ac:dyDescent="0.4">
      <c r="B242" s="102"/>
      <c r="C242" s="103"/>
      <c r="D242" s="103"/>
      <c r="E242" s="103"/>
      <c r="F242" s="103"/>
      <c r="G242" s="103"/>
      <c r="H242" s="103"/>
      <c r="I242" s="103"/>
      <c r="J242" s="100"/>
      <c r="K242" s="100"/>
      <c r="L242" s="101"/>
      <c r="M242" s="102"/>
      <c r="N242" s="103"/>
      <c r="O242" s="103"/>
      <c r="P242" s="103"/>
      <c r="Q242" s="103"/>
      <c r="R242" s="103"/>
      <c r="S242" s="103"/>
      <c r="T242" s="103"/>
      <c r="U242" s="104">
        <f t="shared" si="68"/>
        <v>0</v>
      </c>
      <c r="V242" s="100"/>
      <c r="W242" s="101"/>
    </row>
    <row r="243" spans="2:23" ht="18" customHeight="1" x14ac:dyDescent="0.4">
      <c r="B243" s="102"/>
      <c r="C243" s="103"/>
      <c r="D243" s="103"/>
      <c r="E243" s="103"/>
      <c r="F243" s="103"/>
      <c r="G243" s="103"/>
      <c r="H243" s="103"/>
      <c r="I243" s="103"/>
      <c r="J243" s="100"/>
      <c r="K243" s="100"/>
      <c r="L243" s="101"/>
      <c r="M243" s="102"/>
      <c r="N243" s="103"/>
      <c r="O243" s="103"/>
      <c r="P243" s="103"/>
      <c r="Q243" s="103"/>
      <c r="R243" s="103"/>
      <c r="S243" s="103"/>
      <c r="T243" s="103"/>
      <c r="U243" s="104">
        <f t="shared" si="68"/>
        <v>0</v>
      </c>
      <c r="V243" s="100"/>
      <c r="W243" s="101"/>
    </row>
    <row r="244" spans="2:23" ht="18" customHeight="1" x14ac:dyDescent="0.4">
      <c r="B244" s="102"/>
      <c r="C244" s="103"/>
      <c r="D244" s="103"/>
      <c r="E244" s="103"/>
      <c r="F244" s="103"/>
      <c r="G244" s="103"/>
      <c r="H244" s="103"/>
      <c r="I244" s="103"/>
      <c r="J244" s="100"/>
      <c r="K244" s="100"/>
      <c r="L244" s="101"/>
      <c r="M244" s="102"/>
      <c r="N244" s="103"/>
      <c r="O244" s="103"/>
      <c r="P244" s="103"/>
      <c r="Q244" s="103"/>
      <c r="R244" s="103"/>
      <c r="S244" s="103"/>
      <c r="T244" s="103"/>
      <c r="U244" s="104">
        <f t="shared" si="68"/>
        <v>0</v>
      </c>
      <c r="V244" s="100"/>
      <c r="W244" s="101"/>
    </row>
    <row r="245" spans="2:23" ht="18" customHeight="1" x14ac:dyDescent="0.4">
      <c r="B245" s="109"/>
      <c r="C245" s="110"/>
      <c r="D245" s="110"/>
      <c r="E245" s="110"/>
      <c r="F245" s="110"/>
      <c r="G245" s="110"/>
      <c r="H245" s="110"/>
      <c r="I245" s="110"/>
      <c r="J245" s="107"/>
      <c r="K245" s="107"/>
      <c r="L245" s="108"/>
      <c r="M245" s="109"/>
      <c r="N245" s="110"/>
      <c r="O245" s="110"/>
      <c r="P245" s="110"/>
      <c r="Q245" s="110"/>
      <c r="R245" s="110"/>
      <c r="S245" s="110"/>
      <c r="T245" s="110"/>
      <c r="U245" s="111">
        <f t="shared" si="68"/>
        <v>0</v>
      </c>
      <c r="V245" s="107"/>
      <c r="W245" s="108"/>
    </row>
    <row r="246" spans="2:23" ht="18" customHeight="1" x14ac:dyDescent="0.4">
      <c r="B246" s="86"/>
      <c r="C246" s="87"/>
      <c r="D246" s="87"/>
      <c r="E246" s="87"/>
      <c r="F246" s="87"/>
      <c r="G246" s="87"/>
      <c r="H246" s="87"/>
      <c r="I246" s="87"/>
      <c r="J246" s="88" t="s">
        <v>105</v>
      </c>
      <c r="K246" s="87"/>
      <c r="L246" s="89"/>
      <c r="M246" s="90">
        <f>B246</f>
        <v>0</v>
      </c>
      <c r="N246" s="87"/>
      <c r="O246" s="87"/>
      <c r="P246" s="87"/>
      <c r="Q246" s="87"/>
      <c r="R246" s="87"/>
      <c r="S246" s="87"/>
      <c r="T246" s="87"/>
      <c r="U246" s="88" t="s">
        <v>105</v>
      </c>
      <c r="V246" s="87"/>
      <c r="W246" s="89"/>
    </row>
    <row r="247" spans="2:23" ht="18" customHeight="1" x14ac:dyDescent="0.4">
      <c r="B247" s="95"/>
      <c r="C247" s="96"/>
      <c r="D247" s="96"/>
      <c r="E247" s="96"/>
      <c r="F247" s="96"/>
      <c r="G247" s="96"/>
      <c r="H247" s="96"/>
      <c r="I247" s="96"/>
      <c r="J247" s="93"/>
      <c r="K247" s="93"/>
      <c r="L247" s="94"/>
      <c r="M247" s="95"/>
      <c r="N247" s="96"/>
      <c r="O247" s="96"/>
      <c r="P247" s="96"/>
      <c r="Q247" s="96"/>
      <c r="R247" s="96"/>
      <c r="S247" s="96"/>
      <c r="T247" s="96"/>
      <c r="U247" s="97">
        <f t="shared" ref="U247:U256" si="69">J247</f>
        <v>0</v>
      </c>
      <c r="V247" s="93"/>
      <c r="W247" s="94"/>
    </row>
    <row r="248" spans="2:23" ht="18" customHeight="1" x14ac:dyDescent="0.4">
      <c r="B248" s="102"/>
      <c r="C248" s="103"/>
      <c r="D248" s="103"/>
      <c r="E248" s="103"/>
      <c r="F248" s="103"/>
      <c r="G248" s="103"/>
      <c r="H248" s="103"/>
      <c r="I248" s="103"/>
      <c r="J248" s="100"/>
      <c r="K248" s="100"/>
      <c r="L248" s="101"/>
      <c r="M248" s="102"/>
      <c r="N248" s="103"/>
      <c r="O248" s="103"/>
      <c r="P248" s="103"/>
      <c r="Q248" s="103"/>
      <c r="R248" s="103"/>
      <c r="S248" s="103"/>
      <c r="T248" s="103"/>
      <c r="U248" s="104">
        <f t="shared" si="69"/>
        <v>0</v>
      </c>
      <c r="V248" s="100"/>
      <c r="W248" s="101"/>
    </row>
    <row r="249" spans="2:23" ht="18" customHeight="1" x14ac:dyDescent="0.4">
      <c r="B249" s="102"/>
      <c r="C249" s="103"/>
      <c r="D249" s="103"/>
      <c r="E249" s="103"/>
      <c r="F249" s="103"/>
      <c r="G249" s="103"/>
      <c r="H249" s="103"/>
      <c r="I249" s="103"/>
      <c r="J249" s="100"/>
      <c r="K249" s="100"/>
      <c r="L249" s="101"/>
      <c r="M249" s="102"/>
      <c r="N249" s="103"/>
      <c r="O249" s="103"/>
      <c r="P249" s="103"/>
      <c r="Q249" s="103"/>
      <c r="R249" s="103"/>
      <c r="S249" s="103"/>
      <c r="T249" s="103"/>
      <c r="U249" s="104">
        <f t="shared" si="69"/>
        <v>0</v>
      </c>
      <c r="V249" s="100"/>
      <c r="W249" s="101"/>
    </row>
    <row r="250" spans="2:23" ht="18" customHeight="1" x14ac:dyDescent="0.4">
      <c r="B250" s="102"/>
      <c r="C250" s="103"/>
      <c r="D250" s="103"/>
      <c r="E250" s="103"/>
      <c r="F250" s="103"/>
      <c r="G250" s="103"/>
      <c r="H250" s="103"/>
      <c r="I250" s="103"/>
      <c r="J250" s="100"/>
      <c r="K250" s="100"/>
      <c r="L250" s="101"/>
      <c r="M250" s="102"/>
      <c r="N250" s="103"/>
      <c r="O250" s="103"/>
      <c r="P250" s="103"/>
      <c r="Q250" s="103"/>
      <c r="R250" s="103"/>
      <c r="S250" s="103"/>
      <c r="T250" s="103"/>
      <c r="U250" s="104">
        <f t="shared" si="69"/>
        <v>0</v>
      </c>
      <c r="V250" s="100"/>
      <c r="W250" s="101"/>
    </row>
    <row r="251" spans="2:23" ht="18" customHeight="1" x14ac:dyDescent="0.4">
      <c r="B251" s="102"/>
      <c r="C251" s="103"/>
      <c r="D251" s="103"/>
      <c r="E251" s="103"/>
      <c r="F251" s="103"/>
      <c r="G251" s="103"/>
      <c r="H251" s="103"/>
      <c r="I251" s="103"/>
      <c r="J251" s="100"/>
      <c r="K251" s="100"/>
      <c r="L251" s="101"/>
      <c r="M251" s="102"/>
      <c r="N251" s="103"/>
      <c r="O251" s="103"/>
      <c r="P251" s="103"/>
      <c r="Q251" s="103"/>
      <c r="R251" s="103"/>
      <c r="S251" s="103"/>
      <c r="T251" s="103"/>
      <c r="U251" s="104">
        <f t="shared" si="69"/>
        <v>0</v>
      </c>
      <c r="V251" s="100"/>
      <c r="W251" s="101"/>
    </row>
    <row r="252" spans="2:23" ht="18" customHeight="1" x14ac:dyDescent="0.4">
      <c r="B252" s="102"/>
      <c r="C252" s="103"/>
      <c r="D252" s="103"/>
      <c r="E252" s="103"/>
      <c r="F252" s="103"/>
      <c r="G252" s="103"/>
      <c r="H252" s="103"/>
      <c r="I252" s="103"/>
      <c r="J252" s="100"/>
      <c r="K252" s="100"/>
      <c r="L252" s="101"/>
      <c r="M252" s="102"/>
      <c r="N252" s="103"/>
      <c r="O252" s="103"/>
      <c r="P252" s="103"/>
      <c r="Q252" s="103"/>
      <c r="R252" s="103"/>
      <c r="S252" s="103"/>
      <c r="T252" s="103"/>
      <c r="U252" s="104">
        <f t="shared" si="69"/>
        <v>0</v>
      </c>
      <c r="V252" s="100"/>
      <c r="W252" s="101"/>
    </row>
    <row r="253" spans="2:23" ht="18" customHeight="1" x14ac:dyDescent="0.4">
      <c r="B253" s="102"/>
      <c r="C253" s="103"/>
      <c r="D253" s="103"/>
      <c r="E253" s="103"/>
      <c r="F253" s="103"/>
      <c r="G253" s="103"/>
      <c r="H253" s="103"/>
      <c r="I253" s="103"/>
      <c r="J253" s="100"/>
      <c r="K253" s="100"/>
      <c r="L253" s="101"/>
      <c r="M253" s="102"/>
      <c r="N253" s="103"/>
      <c r="O253" s="103"/>
      <c r="P253" s="103"/>
      <c r="Q253" s="103"/>
      <c r="R253" s="103"/>
      <c r="S253" s="103"/>
      <c r="T253" s="103"/>
      <c r="U253" s="104">
        <f t="shared" si="69"/>
        <v>0</v>
      </c>
      <c r="V253" s="100"/>
      <c r="W253" s="101"/>
    </row>
    <row r="254" spans="2:23" ht="18" customHeight="1" x14ac:dyDescent="0.4">
      <c r="B254" s="102"/>
      <c r="C254" s="103"/>
      <c r="D254" s="103"/>
      <c r="E254" s="103"/>
      <c r="F254" s="103"/>
      <c r="G254" s="103"/>
      <c r="H254" s="103"/>
      <c r="I254" s="103"/>
      <c r="J254" s="100"/>
      <c r="K254" s="100"/>
      <c r="L254" s="101"/>
      <c r="M254" s="102"/>
      <c r="N254" s="103"/>
      <c r="O254" s="103"/>
      <c r="P254" s="103"/>
      <c r="Q254" s="103"/>
      <c r="R254" s="103"/>
      <c r="S254" s="103"/>
      <c r="T254" s="103"/>
      <c r="U254" s="104">
        <f t="shared" si="69"/>
        <v>0</v>
      </c>
      <c r="V254" s="100"/>
      <c r="W254" s="101"/>
    </row>
    <row r="255" spans="2:23" ht="18" customHeight="1" x14ac:dyDescent="0.4">
      <c r="B255" s="102"/>
      <c r="C255" s="103"/>
      <c r="D255" s="103"/>
      <c r="E255" s="103"/>
      <c r="F255" s="103"/>
      <c r="G255" s="103"/>
      <c r="H255" s="103"/>
      <c r="I255" s="103"/>
      <c r="J255" s="100"/>
      <c r="K255" s="100"/>
      <c r="L255" s="101"/>
      <c r="M255" s="102"/>
      <c r="N255" s="103"/>
      <c r="O255" s="103"/>
      <c r="P255" s="103"/>
      <c r="Q255" s="103"/>
      <c r="R255" s="103"/>
      <c r="S255" s="103"/>
      <c r="T255" s="103"/>
      <c r="U255" s="104">
        <f t="shared" si="69"/>
        <v>0</v>
      </c>
      <c r="V255" s="100"/>
      <c r="W255" s="101"/>
    </row>
    <row r="256" spans="2:23" ht="18" customHeight="1" x14ac:dyDescent="0.4">
      <c r="B256" s="109"/>
      <c r="C256" s="110"/>
      <c r="D256" s="110"/>
      <c r="E256" s="110"/>
      <c r="F256" s="110"/>
      <c r="G256" s="110"/>
      <c r="H256" s="110"/>
      <c r="I256" s="110"/>
      <c r="J256" s="107"/>
      <c r="K256" s="107"/>
      <c r="L256" s="108"/>
      <c r="M256" s="109"/>
      <c r="N256" s="110"/>
      <c r="O256" s="110"/>
      <c r="P256" s="110"/>
      <c r="Q256" s="110"/>
      <c r="R256" s="110"/>
      <c r="S256" s="110"/>
      <c r="T256" s="110"/>
      <c r="U256" s="111">
        <f t="shared" si="69"/>
        <v>0</v>
      </c>
      <c r="V256" s="107"/>
      <c r="W256" s="108"/>
    </row>
  </sheetData>
  <mergeCells count="40">
    <mergeCell ref="B247:I256"/>
    <mergeCell ref="M247:T256"/>
    <mergeCell ref="B214:I223"/>
    <mergeCell ref="M214:T223"/>
    <mergeCell ref="B225:I234"/>
    <mergeCell ref="M225:T234"/>
    <mergeCell ref="B236:I245"/>
    <mergeCell ref="M236:T245"/>
    <mergeCell ref="B181:I190"/>
    <mergeCell ref="M181:T190"/>
    <mergeCell ref="B192:I201"/>
    <mergeCell ref="M192:T201"/>
    <mergeCell ref="B203:I212"/>
    <mergeCell ref="M203:T212"/>
    <mergeCell ref="M126:T135"/>
    <mergeCell ref="M137:T146"/>
    <mergeCell ref="M148:T157"/>
    <mergeCell ref="B159:I168"/>
    <mergeCell ref="M159:T168"/>
    <mergeCell ref="B170:I179"/>
    <mergeCell ref="M170:T179"/>
    <mergeCell ref="R11:R12"/>
    <mergeCell ref="S11:T11"/>
    <mergeCell ref="H12:I12"/>
    <mergeCell ref="S12:T12"/>
    <mergeCell ref="M104:T113"/>
    <mergeCell ref="M115:T124"/>
    <mergeCell ref="B11:B12"/>
    <mergeCell ref="C11:F12"/>
    <mergeCell ref="G11:G12"/>
    <mergeCell ref="H11:I11"/>
    <mergeCell ref="M11:M12"/>
    <mergeCell ref="N11:Q12"/>
    <mergeCell ref="M2:W2"/>
    <mergeCell ref="C3:F3"/>
    <mergeCell ref="N3:Q3"/>
    <mergeCell ref="C4:F4"/>
    <mergeCell ref="N4:Q4"/>
    <mergeCell ref="B8:B9"/>
    <mergeCell ref="M8:M9"/>
  </mergeCells>
  <phoneticPr fontId="1"/>
  <pageMargins left="0.19685039370078741" right="0.19685039370078741" top="0.59055118110236227" bottom="0.19685039370078741" header="0.31496062992125984" footer="0.31496062992125984"/>
  <pageSetup paperSize="9" scale="99" orientation="portrait" r:id="rId1"/>
  <colBreaks count="1" manualBreakCount="1">
    <brk id="12" min="1" max="8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E836-6B5D-44BD-A14C-E87962684E74}">
  <sheetPr>
    <tabColor rgb="FFFFC000"/>
  </sheetPr>
  <dimension ref="B1:W256"/>
  <sheetViews>
    <sheetView showZeros="0" tabSelected="1" view="pageBreakPreview" zoomScale="80" zoomScaleNormal="100" zoomScaleSheetLayoutView="80" workbookViewId="0">
      <selection activeCell="O28" sqref="O28"/>
    </sheetView>
  </sheetViews>
  <sheetFormatPr defaultRowHeight="18.75" outlineLevelCol="1" x14ac:dyDescent="0.4"/>
  <cols>
    <col min="1" max="1" width="2.875" customWidth="1"/>
    <col min="2" max="2" width="6.5" customWidth="1"/>
    <col min="3" max="3" width="8.625" customWidth="1"/>
    <col min="4" max="4" width="10" customWidth="1"/>
    <col min="5" max="7" width="8.25" customWidth="1"/>
    <col min="8" max="8" width="6.25" customWidth="1"/>
    <col min="9" max="9" width="5" customWidth="1"/>
    <col min="10" max="10" width="7.875" customWidth="1"/>
    <col min="11" max="11" width="9.75" customWidth="1"/>
    <col min="12" max="12" width="14.25" customWidth="1"/>
    <col min="13" max="13" width="6.5" customWidth="1" outlineLevel="1"/>
    <col min="14" max="14" width="8.625" customWidth="1" outlineLevel="1"/>
    <col min="15" max="15" width="10" customWidth="1" outlineLevel="1"/>
    <col min="16" max="18" width="8.25" customWidth="1" outlineLevel="1"/>
    <col min="19" max="19" width="6.25" customWidth="1" outlineLevel="1"/>
    <col min="20" max="20" width="5" customWidth="1" outlineLevel="1"/>
    <col min="21" max="21" width="7.875" customWidth="1" outlineLevel="1"/>
    <col min="22" max="22" width="9.75" customWidth="1" outlineLevel="1"/>
    <col min="23" max="23" width="13.5" customWidth="1" outlineLevel="1"/>
  </cols>
  <sheetData>
    <row r="1" spans="2:23" x14ac:dyDescent="0.4">
      <c r="F1" t="s">
        <v>0</v>
      </c>
      <c r="G1" s="1">
        <v>0.9</v>
      </c>
      <c r="I1" s="2" t="s">
        <v>1</v>
      </c>
      <c r="J1" s="1">
        <v>0.15</v>
      </c>
      <c r="K1" s="3">
        <v>1.5</v>
      </c>
      <c r="L1" s="4">
        <f>N11-C11</f>
        <v>771100</v>
      </c>
      <c r="W1" s="5"/>
    </row>
    <row r="2" spans="2:23" ht="35.25" x14ac:dyDescent="0.4">
      <c r="B2" s="157" t="s">
        <v>146</v>
      </c>
      <c r="C2" s="157"/>
      <c r="D2" s="157"/>
      <c r="E2" s="158"/>
      <c r="F2" s="159" t="s">
        <v>139</v>
      </c>
      <c r="G2" s="159"/>
      <c r="H2" s="159"/>
      <c r="I2" s="159"/>
      <c r="J2" s="159"/>
      <c r="K2" s="159" t="s">
        <v>140</v>
      </c>
      <c r="L2" s="159"/>
      <c r="M2" s="6" t="s">
        <v>172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 spans="2:23" ht="23.25" customHeight="1" x14ac:dyDescent="0.4">
      <c r="B3" s="7" t="s">
        <v>138</v>
      </c>
      <c r="C3" s="8"/>
      <c r="D3" s="8"/>
      <c r="E3" s="8"/>
      <c r="F3" s="8"/>
      <c r="G3" s="9" t="s">
        <v>2</v>
      </c>
      <c r="J3" s="10"/>
      <c r="K3" s="11" t="s">
        <v>3</v>
      </c>
      <c r="L3" s="12"/>
      <c r="M3" s="7" t="s">
        <v>4</v>
      </c>
      <c r="N3" s="13"/>
      <c r="O3" s="13"/>
      <c r="P3" s="13"/>
      <c r="Q3" s="13"/>
      <c r="R3" s="9" t="s">
        <v>2</v>
      </c>
      <c r="U3" s="10"/>
      <c r="V3" s="11" t="str">
        <f>K3</f>
        <v>顧客番号</v>
      </c>
      <c r="W3" s="14">
        <f>L3</f>
        <v>0</v>
      </c>
    </row>
    <row r="4" spans="2:23" ht="21" customHeight="1" x14ac:dyDescent="0.4">
      <c r="B4" s="15" t="s">
        <v>5</v>
      </c>
      <c r="C4" s="16"/>
      <c r="D4" s="16"/>
      <c r="E4" s="16"/>
      <c r="F4" s="16"/>
      <c r="G4" s="17" t="s">
        <v>6</v>
      </c>
      <c r="J4" s="10"/>
      <c r="K4" s="18" t="s">
        <v>7</v>
      </c>
      <c r="L4" s="19"/>
      <c r="M4" s="15" t="s">
        <v>5</v>
      </c>
      <c r="N4" s="16"/>
      <c r="O4" s="16"/>
      <c r="P4" s="16"/>
      <c r="Q4" s="16"/>
      <c r="R4" s="17" t="s">
        <v>6</v>
      </c>
      <c r="U4" s="10"/>
      <c r="V4" s="11" t="s">
        <v>8</v>
      </c>
      <c r="W4" s="19">
        <f ca="1">TODAY()</f>
        <v>46255</v>
      </c>
    </row>
    <row r="5" spans="2:23" ht="21" customHeight="1" x14ac:dyDescent="0.4">
      <c r="B5" s="20" t="s">
        <v>9</v>
      </c>
      <c r="C5" s="21"/>
      <c r="D5" s="21"/>
      <c r="E5" s="21"/>
      <c r="F5" s="21"/>
      <c r="G5" s="21"/>
      <c r="H5" s="21"/>
      <c r="I5" s="21"/>
      <c r="J5" s="22"/>
      <c r="K5" s="23" t="s">
        <v>10</v>
      </c>
      <c r="L5" s="20"/>
      <c r="M5" s="20" t="s">
        <v>11</v>
      </c>
      <c r="N5" s="21"/>
      <c r="O5" s="21"/>
      <c r="P5" s="21"/>
      <c r="Q5" s="21"/>
      <c r="R5" s="21"/>
      <c r="S5" s="21"/>
      <c r="T5" s="21"/>
      <c r="U5" s="24"/>
      <c r="V5" s="25" t="str">
        <f>K5</f>
        <v>受注契約日</v>
      </c>
      <c r="W5" s="26">
        <f ca="1">W4</f>
        <v>46255</v>
      </c>
    </row>
    <row r="6" spans="2:23" ht="21" customHeight="1" x14ac:dyDescent="0.4">
      <c r="B6" s="27" t="s">
        <v>141</v>
      </c>
      <c r="C6" s="28" t="s">
        <v>141</v>
      </c>
      <c r="D6" s="29"/>
      <c r="E6" s="29"/>
      <c r="F6" s="28" t="s">
        <v>6</v>
      </c>
      <c r="G6" s="31" t="s">
        <v>142</v>
      </c>
      <c r="H6" s="31"/>
      <c r="I6" s="31"/>
      <c r="J6" s="32"/>
      <c r="K6" s="30" t="s">
        <v>143</v>
      </c>
      <c r="L6" s="30"/>
      <c r="M6" s="33" t="s">
        <v>12</v>
      </c>
      <c r="N6" s="28" t="str">
        <f>C6</f>
        <v>氏名</v>
      </c>
      <c r="O6" s="29"/>
      <c r="P6" s="29"/>
      <c r="Q6" s="29"/>
      <c r="R6" s="29"/>
      <c r="S6" s="31"/>
      <c r="T6" s="31">
        <f>I6</f>
        <v>0</v>
      </c>
      <c r="U6" s="32">
        <f>J6</f>
        <v>0</v>
      </c>
      <c r="V6" s="30"/>
      <c r="W6" s="30"/>
    </row>
    <row r="7" spans="2:23" ht="21" customHeight="1" x14ac:dyDescent="0.4">
      <c r="B7" s="34" t="s">
        <v>13</v>
      </c>
      <c r="C7" s="35" t="s">
        <v>14</v>
      </c>
      <c r="D7" s="36"/>
      <c r="E7" s="36"/>
      <c r="F7" s="36"/>
      <c r="G7" s="36"/>
      <c r="J7" s="37" t="s">
        <v>15</v>
      </c>
      <c r="M7" s="38" t="s">
        <v>16</v>
      </c>
      <c r="N7" s="35" t="s">
        <v>17</v>
      </c>
      <c r="O7" s="36"/>
      <c r="P7" s="36"/>
      <c r="Q7" s="36"/>
      <c r="R7" s="36"/>
      <c r="U7" s="37" t="s">
        <v>18</v>
      </c>
    </row>
    <row r="8" spans="2:23" ht="21" customHeight="1" x14ac:dyDescent="0.4">
      <c r="B8" s="39" t="s">
        <v>19</v>
      </c>
      <c r="C8" s="40" t="s">
        <v>20</v>
      </c>
      <c r="D8" s="40" t="s">
        <v>21</v>
      </c>
      <c r="E8" s="40"/>
      <c r="F8" s="40"/>
      <c r="G8" s="40"/>
      <c r="M8" s="41" t="s">
        <v>19</v>
      </c>
      <c r="N8" s="40" t="s">
        <v>20</v>
      </c>
      <c r="O8" s="40"/>
      <c r="P8" s="40"/>
      <c r="Q8" s="40"/>
      <c r="R8" s="40"/>
    </row>
    <row r="9" spans="2:23" ht="21" customHeight="1" x14ac:dyDescent="0.4">
      <c r="B9" s="42"/>
      <c r="C9" s="40" t="s">
        <v>22</v>
      </c>
      <c r="D9" s="40" t="s">
        <v>23</v>
      </c>
      <c r="E9" s="40"/>
      <c r="F9" s="40"/>
      <c r="G9" s="40"/>
      <c r="M9" s="43"/>
      <c r="N9" s="40" t="s">
        <v>22</v>
      </c>
      <c r="O9" s="40"/>
      <c r="P9" s="40"/>
      <c r="Q9" s="40"/>
      <c r="R9" s="40"/>
    </row>
    <row r="10" spans="2:23" ht="6.75" customHeight="1" x14ac:dyDescent="0.4">
      <c r="B10" s="44"/>
      <c r="M10" s="44"/>
    </row>
    <row r="11" spans="2:23" ht="21" customHeight="1" x14ac:dyDescent="0.4">
      <c r="B11" s="45" t="s">
        <v>24</v>
      </c>
      <c r="C11" s="46">
        <f>K80</f>
        <v>1921700</v>
      </c>
      <c r="D11" s="47"/>
      <c r="E11" s="47"/>
      <c r="F11" s="47"/>
      <c r="G11" s="48" t="s">
        <v>25</v>
      </c>
      <c r="H11" s="49"/>
      <c r="I11" s="50"/>
      <c r="M11" s="51" t="s">
        <v>24</v>
      </c>
      <c r="N11" s="46">
        <f>V80</f>
        <v>2692800</v>
      </c>
      <c r="O11" s="47"/>
      <c r="P11" s="47"/>
      <c r="Q11" s="47"/>
      <c r="R11" s="48" t="s">
        <v>25</v>
      </c>
      <c r="S11" s="49">
        <f>H11</f>
        <v>0</v>
      </c>
      <c r="T11" s="50"/>
      <c r="U11" s="52"/>
      <c r="V11" s="53"/>
      <c r="W11" s="53"/>
    </row>
    <row r="12" spans="2:23" ht="21" customHeight="1" x14ac:dyDescent="0.4">
      <c r="B12" s="54"/>
      <c r="C12" s="55"/>
      <c r="D12" s="55"/>
      <c r="E12" s="55"/>
      <c r="F12" s="55"/>
      <c r="G12" s="56"/>
      <c r="H12" s="49"/>
      <c r="I12" s="50"/>
      <c r="M12" s="57"/>
      <c r="N12" s="55"/>
      <c r="O12" s="55"/>
      <c r="P12" s="55"/>
      <c r="Q12" s="55"/>
      <c r="R12" s="56"/>
      <c r="S12" s="49">
        <f>H12</f>
        <v>0</v>
      </c>
      <c r="T12" s="50"/>
      <c r="U12" s="53"/>
      <c r="V12" s="53"/>
      <c r="W12" s="53"/>
    </row>
    <row r="13" spans="2:23" ht="5.25" customHeight="1" x14ac:dyDescent="0.4"/>
    <row r="14" spans="2:23" x14ac:dyDescent="0.4">
      <c r="B14" s="58" t="s">
        <v>26</v>
      </c>
      <c r="C14" s="58" t="s">
        <v>27</v>
      </c>
      <c r="D14" s="58"/>
      <c r="E14" s="58"/>
      <c r="F14" s="58"/>
      <c r="G14" s="58"/>
      <c r="H14" s="58" t="s">
        <v>28</v>
      </c>
      <c r="I14" s="58" t="s">
        <v>29</v>
      </c>
      <c r="J14" s="58" t="s">
        <v>30</v>
      </c>
      <c r="K14" s="58" t="s">
        <v>31</v>
      </c>
      <c r="L14" s="58" t="s">
        <v>32</v>
      </c>
      <c r="M14" s="59" t="s">
        <v>26</v>
      </c>
      <c r="N14" s="59" t="s">
        <v>27</v>
      </c>
      <c r="O14" s="59"/>
      <c r="P14" s="59"/>
      <c r="Q14" s="59"/>
      <c r="R14" s="59"/>
      <c r="S14" s="59" t="s">
        <v>28</v>
      </c>
      <c r="T14" s="59" t="s">
        <v>29</v>
      </c>
      <c r="U14" s="59" t="s">
        <v>30</v>
      </c>
      <c r="V14" s="59" t="s">
        <v>31</v>
      </c>
      <c r="W14" s="59" t="s">
        <v>32</v>
      </c>
    </row>
    <row r="15" spans="2:23" x14ac:dyDescent="0.4">
      <c r="B15" s="60" t="s">
        <v>106</v>
      </c>
      <c r="C15" s="60" t="s">
        <v>33</v>
      </c>
      <c r="D15" s="62"/>
      <c r="E15" s="62" t="s">
        <v>34</v>
      </c>
      <c r="F15" s="62"/>
      <c r="G15" s="61"/>
      <c r="H15" s="63">
        <v>6</v>
      </c>
      <c r="I15" s="64" t="s">
        <v>35</v>
      </c>
      <c r="J15" s="65">
        <f>ROUNDDOWN($G$1*1619/3*2.5,0)</f>
        <v>1214</v>
      </c>
      <c r="K15" s="66">
        <f t="shared" ref="K15:K73" si="0">ROUNDDOWN(H15*J15,0)</f>
        <v>7284</v>
      </c>
      <c r="L15" s="61"/>
      <c r="M15" s="67" t="str">
        <f t="shared" ref="M15:N76" si="1">B15</f>
        <v>本体</v>
      </c>
      <c r="N15" s="67" t="str">
        <f>C15</f>
        <v>１．金物関係費用</v>
      </c>
      <c r="O15" s="67"/>
      <c r="P15" s="67" t="str">
        <f t="shared" ref="P15:P73" si="2">E15</f>
        <v>・単管パイプ2.5m</v>
      </c>
      <c r="Q15" s="67"/>
      <c r="R15" s="67"/>
      <c r="S15" s="63">
        <f t="shared" ref="S15:T75" si="3">H15</f>
        <v>6</v>
      </c>
      <c r="T15" s="67" t="str">
        <f t="shared" si="3"/>
        <v>本</v>
      </c>
      <c r="U15" s="65">
        <f t="shared" ref="U15:U74" si="4">ROUNDDOWN(J15*$K$1,0)</f>
        <v>1821</v>
      </c>
      <c r="V15" s="66">
        <f t="shared" ref="V15:V73" si="5">ROUNDDOWN(S15*U15,0)</f>
        <v>10926</v>
      </c>
      <c r="W15" s="67">
        <f t="shared" ref="W15:W76" si="6">L15</f>
        <v>0</v>
      </c>
    </row>
    <row r="16" spans="2:23" x14ac:dyDescent="0.4">
      <c r="B16" s="60"/>
      <c r="C16" s="61"/>
      <c r="D16" s="62"/>
      <c r="E16" s="62" t="s">
        <v>36</v>
      </c>
      <c r="F16" s="62"/>
      <c r="G16" s="61"/>
      <c r="H16" s="63">
        <f>ROUNDUP($H$15,2)</f>
        <v>6</v>
      </c>
      <c r="I16" s="64" t="s">
        <v>37</v>
      </c>
      <c r="J16" s="65">
        <f>ROUNDDOWN($G$1*188,0)</f>
        <v>169</v>
      </c>
      <c r="K16" s="66">
        <f t="shared" si="0"/>
        <v>1014</v>
      </c>
      <c r="L16" s="61"/>
      <c r="M16" s="67">
        <f t="shared" si="1"/>
        <v>0</v>
      </c>
      <c r="N16" s="67">
        <f t="shared" si="1"/>
        <v>0</v>
      </c>
      <c r="O16" s="67"/>
      <c r="P16" s="67" t="str">
        <f t="shared" si="2"/>
        <v>・タルキ止めクランプ</v>
      </c>
      <c r="Q16" s="67"/>
      <c r="R16" s="67"/>
      <c r="S16" s="63">
        <f t="shared" si="3"/>
        <v>6</v>
      </c>
      <c r="T16" s="67" t="str">
        <f t="shared" si="3"/>
        <v>個</v>
      </c>
      <c r="U16" s="65">
        <f t="shared" si="4"/>
        <v>253</v>
      </c>
      <c r="V16" s="66">
        <f t="shared" si="5"/>
        <v>1518</v>
      </c>
      <c r="W16" s="67">
        <f t="shared" si="6"/>
        <v>0</v>
      </c>
    </row>
    <row r="17" spans="2:23" x14ac:dyDescent="0.4">
      <c r="B17" s="60"/>
      <c r="C17" s="61"/>
      <c r="D17" s="62"/>
      <c r="E17" s="62" t="s">
        <v>38</v>
      </c>
      <c r="F17" s="62"/>
      <c r="G17" s="61"/>
      <c r="H17" s="63">
        <f>ROUNDUP($H$15,2)</f>
        <v>6</v>
      </c>
      <c r="I17" s="64" t="s">
        <v>35</v>
      </c>
      <c r="J17" s="65">
        <f>ROUNDDOWN($G$1*1850,0)</f>
        <v>1665</v>
      </c>
      <c r="K17" s="66">
        <f t="shared" si="0"/>
        <v>9990</v>
      </c>
      <c r="L17" s="61"/>
      <c r="M17" s="67">
        <f t="shared" si="1"/>
        <v>0</v>
      </c>
      <c r="N17" s="67">
        <f>C17</f>
        <v>0</v>
      </c>
      <c r="O17" s="67"/>
      <c r="P17" s="67" t="str">
        <f t="shared" si="2"/>
        <v>・ジャッキベース</v>
      </c>
      <c r="Q17" s="67"/>
      <c r="R17" s="67"/>
      <c r="S17" s="63">
        <f t="shared" si="3"/>
        <v>6</v>
      </c>
      <c r="T17" s="67" t="str">
        <f t="shared" si="3"/>
        <v>本</v>
      </c>
      <c r="U17" s="65">
        <f t="shared" si="4"/>
        <v>2497</v>
      </c>
      <c r="V17" s="66">
        <f t="shared" si="5"/>
        <v>14982</v>
      </c>
      <c r="W17" s="67">
        <f t="shared" si="6"/>
        <v>0</v>
      </c>
    </row>
    <row r="18" spans="2:23" x14ac:dyDescent="0.4">
      <c r="B18" s="60"/>
      <c r="C18" s="61"/>
      <c r="D18" s="62"/>
      <c r="E18" s="62" t="s">
        <v>39</v>
      </c>
      <c r="F18" s="62"/>
      <c r="G18" s="61"/>
      <c r="H18" s="63">
        <f>ROUNDUP($H$15,2)</f>
        <v>6</v>
      </c>
      <c r="I18" s="64" t="s">
        <v>40</v>
      </c>
      <c r="J18" s="65">
        <f>ROUNDDOWN($G$1*950,0)</f>
        <v>855</v>
      </c>
      <c r="K18" s="66">
        <f t="shared" si="0"/>
        <v>5130</v>
      </c>
      <c r="L18" s="61"/>
      <c r="M18" s="67">
        <f t="shared" si="1"/>
        <v>0</v>
      </c>
      <c r="N18" s="67">
        <f t="shared" si="1"/>
        <v>0</v>
      </c>
      <c r="O18" s="67"/>
      <c r="P18" s="67" t="str">
        <f t="shared" si="2"/>
        <v>・ジャッキベース用カバー</v>
      </c>
      <c r="Q18" s="67"/>
      <c r="R18" s="67"/>
      <c r="S18" s="63">
        <f t="shared" si="3"/>
        <v>6</v>
      </c>
      <c r="T18" s="67" t="str">
        <f t="shared" si="3"/>
        <v>枚</v>
      </c>
      <c r="U18" s="65">
        <f t="shared" si="4"/>
        <v>1282</v>
      </c>
      <c r="V18" s="66">
        <f t="shared" si="5"/>
        <v>7692</v>
      </c>
      <c r="W18" s="67">
        <f t="shared" si="6"/>
        <v>0</v>
      </c>
    </row>
    <row r="19" spans="2:23" x14ac:dyDescent="0.4">
      <c r="B19" s="60"/>
      <c r="C19" s="61"/>
      <c r="D19" s="62"/>
      <c r="E19" s="62" t="s">
        <v>41</v>
      </c>
      <c r="F19" s="62"/>
      <c r="G19" s="61"/>
      <c r="H19" s="63">
        <v>6</v>
      </c>
      <c r="I19" s="64" t="s">
        <v>40</v>
      </c>
      <c r="J19" s="65">
        <f>ROUNDDOWN($G$1*2180,0)</f>
        <v>1962</v>
      </c>
      <c r="K19" s="66">
        <f t="shared" si="0"/>
        <v>11772</v>
      </c>
      <c r="L19" s="61"/>
      <c r="M19" s="67">
        <f t="shared" si="1"/>
        <v>0</v>
      </c>
      <c r="N19" s="67">
        <f t="shared" si="1"/>
        <v>0</v>
      </c>
      <c r="O19" s="67"/>
      <c r="P19" s="67" t="str">
        <f t="shared" si="2"/>
        <v>・大型丁番＋ステンレス長ビス</v>
      </c>
      <c r="Q19" s="67"/>
      <c r="R19" s="67"/>
      <c r="S19" s="63">
        <f t="shared" si="3"/>
        <v>6</v>
      </c>
      <c r="T19" s="67" t="str">
        <f t="shared" si="3"/>
        <v>枚</v>
      </c>
      <c r="U19" s="65">
        <f t="shared" si="4"/>
        <v>2943</v>
      </c>
      <c r="V19" s="66">
        <f t="shared" si="5"/>
        <v>17658</v>
      </c>
      <c r="W19" s="67">
        <f t="shared" si="6"/>
        <v>0</v>
      </c>
    </row>
    <row r="20" spans="2:23" x14ac:dyDescent="0.4">
      <c r="B20" s="60"/>
      <c r="C20" s="61"/>
      <c r="D20" s="62"/>
      <c r="E20" s="62" t="s">
        <v>42</v>
      </c>
      <c r="F20" s="62"/>
      <c r="G20" s="61"/>
      <c r="H20" s="63">
        <v>0</v>
      </c>
      <c r="I20" s="64" t="s">
        <v>40</v>
      </c>
      <c r="J20" s="65">
        <f>ROUNDDOWN($G$1*510,0)</f>
        <v>459</v>
      </c>
      <c r="K20" s="66">
        <f t="shared" si="0"/>
        <v>0</v>
      </c>
      <c r="L20" s="68"/>
      <c r="M20" s="67">
        <f t="shared" si="1"/>
        <v>0</v>
      </c>
      <c r="N20" s="67">
        <f t="shared" si="1"/>
        <v>0</v>
      </c>
      <c r="O20" s="67"/>
      <c r="P20" s="67" t="str">
        <f t="shared" si="2"/>
        <v>・床用補強金物</v>
      </c>
      <c r="Q20" s="67"/>
      <c r="R20" s="67"/>
      <c r="S20" s="63">
        <f t="shared" si="3"/>
        <v>0</v>
      </c>
      <c r="T20" s="67" t="str">
        <f t="shared" si="3"/>
        <v>枚</v>
      </c>
      <c r="U20" s="65">
        <f t="shared" si="4"/>
        <v>688</v>
      </c>
      <c r="V20" s="66">
        <f t="shared" si="5"/>
        <v>0</v>
      </c>
      <c r="W20" s="67">
        <f t="shared" si="6"/>
        <v>0</v>
      </c>
    </row>
    <row r="21" spans="2:23" x14ac:dyDescent="0.4">
      <c r="B21" s="60"/>
      <c r="C21" s="61"/>
      <c r="D21" s="62"/>
      <c r="E21" s="62" t="s">
        <v>43</v>
      </c>
      <c r="F21" s="62"/>
      <c r="G21" s="61"/>
      <c r="H21" s="63">
        <f>ROUNDUP(4,2)</f>
        <v>4</v>
      </c>
      <c r="I21" s="64" t="s">
        <v>40</v>
      </c>
      <c r="J21" s="65">
        <f>ROUNDDOWN($G$1*510,0)</f>
        <v>459</v>
      </c>
      <c r="K21" s="66">
        <f t="shared" si="0"/>
        <v>1836</v>
      </c>
      <c r="L21" s="68">
        <f>SUM(K15:K21)</f>
        <v>37026</v>
      </c>
      <c r="M21" s="67">
        <f t="shared" si="1"/>
        <v>0</v>
      </c>
      <c r="N21" s="67">
        <f t="shared" si="1"/>
        <v>0</v>
      </c>
      <c r="O21" s="67"/>
      <c r="P21" s="67" t="str">
        <f t="shared" si="2"/>
        <v>・その他の金物</v>
      </c>
      <c r="Q21" s="67"/>
      <c r="R21" s="67"/>
      <c r="S21" s="63">
        <f t="shared" si="3"/>
        <v>4</v>
      </c>
      <c r="T21" s="67" t="str">
        <f t="shared" si="3"/>
        <v>枚</v>
      </c>
      <c r="U21" s="65">
        <f t="shared" si="4"/>
        <v>688</v>
      </c>
      <c r="V21" s="66">
        <f t="shared" si="5"/>
        <v>2752</v>
      </c>
      <c r="W21" s="67">
        <f t="shared" si="6"/>
        <v>37026</v>
      </c>
    </row>
    <row r="22" spans="2:23" s="122" customFormat="1" x14ac:dyDescent="0.4">
      <c r="B22" s="112" t="s">
        <v>106</v>
      </c>
      <c r="C22" s="112" t="s">
        <v>107</v>
      </c>
      <c r="D22" s="113"/>
      <c r="E22" s="113" t="s">
        <v>44</v>
      </c>
      <c r="F22" s="113"/>
      <c r="G22" s="114"/>
      <c r="H22" s="115">
        <f>ROUNDUP(23*2,2)</f>
        <v>46</v>
      </c>
      <c r="I22" s="116" t="s">
        <v>35</v>
      </c>
      <c r="J22" s="117">
        <f>ROUNDDOWN($G$1*635,0)</f>
        <v>571</v>
      </c>
      <c r="K22" s="118">
        <f t="shared" si="0"/>
        <v>26266</v>
      </c>
      <c r="L22" s="114" t="s">
        <v>45</v>
      </c>
      <c r="M22" s="119" t="str">
        <f t="shared" si="1"/>
        <v>本体</v>
      </c>
      <c r="N22" s="67" t="str">
        <f t="shared" si="1"/>
        <v>２．プレカット</v>
      </c>
      <c r="O22" s="119"/>
      <c r="P22" s="119" t="str">
        <f t="shared" si="2"/>
        <v>・204材L=6f</v>
      </c>
      <c r="Q22" s="119"/>
      <c r="R22" s="119"/>
      <c r="S22" s="115">
        <f t="shared" si="3"/>
        <v>46</v>
      </c>
      <c r="T22" s="119" t="str">
        <f t="shared" si="3"/>
        <v>本</v>
      </c>
      <c r="U22" s="117">
        <f t="shared" si="4"/>
        <v>856</v>
      </c>
      <c r="V22" s="118">
        <f t="shared" si="5"/>
        <v>39376</v>
      </c>
      <c r="W22" s="119" t="str">
        <f t="shared" si="6"/>
        <v>床天井根太</v>
      </c>
    </row>
    <row r="23" spans="2:23" s="122" customFormat="1" x14ac:dyDescent="0.4">
      <c r="B23" s="112"/>
      <c r="C23" s="114" t="s">
        <v>108</v>
      </c>
      <c r="D23" s="113"/>
      <c r="E23" s="113" t="s">
        <v>46</v>
      </c>
      <c r="F23" s="113"/>
      <c r="G23" s="114"/>
      <c r="H23" s="115">
        <f>ROUNDUP(50,2)</f>
        <v>50</v>
      </c>
      <c r="I23" s="116" t="s">
        <v>35</v>
      </c>
      <c r="J23" s="117">
        <f>ROUNDDOWN($G$1*635/6*8,0)</f>
        <v>762</v>
      </c>
      <c r="K23" s="118">
        <f t="shared" si="0"/>
        <v>38100</v>
      </c>
      <c r="L23" s="114" t="s">
        <v>47</v>
      </c>
      <c r="M23" s="119">
        <f t="shared" si="1"/>
        <v>0</v>
      </c>
      <c r="N23" s="67" t="str">
        <f t="shared" si="1"/>
        <v>　（木材費）</v>
      </c>
      <c r="O23" s="119"/>
      <c r="P23" s="119" t="str">
        <f t="shared" si="2"/>
        <v>・204材L=8f</v>
      </c>
      <c r="Q23" s="119"/>
      <c r="R23" s="119"/>
      <c r="S23" s="115">
        <f t="shared" si="3"/>
        <v>50</v>
      </c>
      <c r="T23" s="119" t="str">
        <f t="shared" si="3"/>
        <v>本</v>
      </c>
      <c r="U23" s="117">
        <f t="shared" si="4"/>
        <v>1143</v>
      </c>
      <c r="V23" s="118">
        <f t="shared" si="5"/>
        <v>57150</v>
      </c>
      <c r="W23" s="119" t="str">
        <f t="shared" si="6"/>
        <v>壁用</v>
      </c>
    </row>
    <row r="24" spans="2:23" s="122" customFormat="1" x14ac:dyDescent="0.4">
      <c r="B24" s="112"/>
      <c r="C24" s="114"/>
      <c r="D24" s="113"/>
      <c r="E24" s="113" t="s">
        <v>48</v>
      </c>
      <c r="F24" s="113"/>
      <c r="G24" s="114"/>
      <c r="H24" s="115">
        <f>ROUNDUP(0,2)</f>
        <v>0</v>
      </c>
      <c r="I24" s="116" t="s">
        <v>35</v>
      </c>
      <c r="J24" s="117">
        <f>ROUNDDOWN($G$1*635/6*12,0)</f>
        <v>1143</v>
      </c>
      <c r="K24" s="118">
        <f t="shared" si="0"/>
        <v>0</v>
      </c>
      <c r="L24" s="114" t="s">
        <v>49</v>
      </c>
      <c r="M24" s="119">
        <f t="shared" si="1"/>
        <v>0</v>
      </c>
      <c r="N24" s="67">
        <f t="shared" si="1"/>
        <v>0</v>
      </c>
      <c r="O24" s="119"/>
      <c r="P24" s="119" t="str">
        <f t="shared" si="2"/>
        <v>・204材L=12f</v>
      </c>
      <c r="Q24" s="119"/>
      <c r="R24" s="119"/>
      <c r="S24" s="115">
        <f t="shared" si="3"/>
        <v>0</v>
      </c>
      <c r="T24" s="119" t="str">
        <f t="shared" si="3"/>
        <v>本</v>
      </c>
      <c r="U24" s="117">
        <f t="shared" si="4"/>
        <v>1714</v>
      </c>
      <c r="V24" s="118">
        <f t="shared" si="5"/>
        <v>0</v>
      </c>
      <c r="W24" s="119" t="str">
        <f t="shared" si="6"/>
        <v>上下枠根太破風</v>
      </c>
    </row>
    <row r="25" spans="2:23" s="122" customFormat="1" x14ac:dyDescent="0.4">
      <c r="B25" s="112"/>
      <c r="C25" s="114"/>
      <c r="D25" s="113"/>
      <c r="E25" s="113" t="s">
        <v>50</v>
      </c>
      <c r="F25" s="113"/>
      <c r="G25" s="114"/>
      <c r="H25" s="115">
        <f>ROUNDUP(12,2)</f>
        <v>12</v>
      </c>
      <c r="I25" s="116" t="s">
        <v>35</v>
      </c>
      <c r="J25" s="117">
        <f>ROUNDDOWN($G$1*635/6*16,0)</f>
        <v>1524</v>
      </c>
      <c r="K25" s="118">
        <f t="shared" si="0"/>
        <v>18288</v>
      </c>
      <c r="L25" s="114" t="s">
        <v>51</v>
      </c>
      <c r="M25" s="119">
        <f t="shared" si="1"/>
        <v>0</v>
      </c>
      <c r="N25" s="67">
        <f t="shared" si="1"/>
        <v>0</v>
      </c>
      <c r="O25" s="119"/>
      <c r="P25" s="119" t="str">
        <f t="shared" si="2"/>
        <v>・204材L=16f</v>
      </c>
      <c r="Q25" s="119"/>
      <c r="R25" s="119"/>
      <c r="S25" s="115">
        <f t="shared" si="3"/>
        <v>12</v>
      </c>
      <c r="T25" s="119" t="str">
        <f t="shared" si="3"/>
        <v>本</v>
      </c>
      <c r="U25" s="117">
        <f t="shared" si="4"/>
        <v>2286</v>
      </c>
      <c r="V25" s="118">
        <f t="shared" si="5"/>
        <v>27432</v>
      </c>
      <c r="W25" s="119" t="str">
        <f t="shared" si="6"/>
        <v>同上</v>
      </c>
    </row>
    <row r="26" spans="2:23" s="122" customFormat="1" x14ac:dyDescent="0.4">
      <c r="B26" s="112"/>
      <c r="C26" s="114"/>
      <c r="D26" s="113"/>
      <c r="E26" s="113" t="s">
        <v>48</v>
      </c>
      <c r="F26" s="113"/>
      <c r="G26" s="114"/>
      <c r="H26" s="115">
        <f>ROUNDUP(4,2)</f>
        <v>4</v>
      </c>
      <c r="I26" s="116" t="s">
        <v>35</v>
      </c>
      <c r="J26" s="117">
        <f>ROUNDDOWN($G$1*635/6*12,0)</f>
        <v>1143</v>
      </c>
      <c r="K26" s="118">
        <f t="shared" si="0"/>
        <v>4572</v>
      </c>
      <c r="L26" s="114" t="s">
        <v>52</v>
      </c>
      <c r="M26" s="119">
        <f t="shared" si="1"/>
        <v>0</v>
      </c>
      <c r="N26" s="67">
        <f t="shared" si="1"/>
        <v>0</v>
      </c>
      <c r="O26" s="119"/>
      <c r="P26" s="119" t="str">
        <f t="shared" si="2"/>
        <v>・204材L=12f</v>
      </c>
      <c r="Q26" s="119"/>
      <c r="R26" s="119"/>
      <c r="S26" s="115">
        <f t="shared" si="3"/>
        <v>4</v>
      </c>
      <c r="T26" s="119" t="str">
        <f t="shared" si="3"/>
        <v>本</v>
      </c>
      <c r="U26" s="117">
        <f t="shared" si="4"/>
        <v>1714</v>
      </c>
      <c r="V26" s="118">
        <f t="shared" si="5"/>
        <v>6856</v>
      </c>
      <c r="W26" s="119" t="str">
        <f t="shared" si="6"/>
        <v>屋根タルキ</v>
      </c>
    </row>
    <row r="27" spans="2:23" s="122" customFormat="1" x14ac:dyDescent="0.4">
      <c r="B27" s="112"/>
      <c r="C27" s="114"/>
      <c r="D27" s="113"/>
      <c r="E27" s="113" t="s">
        <v>53</v>
      </c>
      <c r="F27" s="113"/>
      <c r="G27" s="114"/>
      <c r="H27" s="115">
        <f>ROUNDUP(0,2)</f>
        <v>0</v>
      </c>
      <c r="I27" s="116" t="s">
        <v>35</v>
      </c>
      <c r="J27" s="117">
        <f>ROUNDDOWN($G$1*362,0)</f>
        <v>325</v>
      </c>
      <c r="K27" s="118">
        <f>ROUNDDOWN(H27*J27,0)</f>
        <v>0</v>
      </c>
      <c r="L27" s="121"/>
      <c r="M27" s="119">
        <f>B27</f>
        <v>0</v>
      </c>
      <c r="N27" s="67">
        <f t="shared" si="1"/>
        <v>0</v>
      </c>
      <c r="O27" s="119"/>
      <c r="P27" s="119" t="str">
        <f>E27</f>
        <v>・104材柱パイプ囲み用</v>
      </c>
      <c r="Q27" s="119"/>
      <c r="R27" s="119"/>
      <c r="S27" s="115">
        <f t="shared" si="3"/>
        <v>0</v>
      </c>
      <c r="T27" s="119" t="str">
        <f t="shared" si="3"/>
        <v>本</v>
      </c>
      <c r="U27" s="117">
        <f>ROUNDDOWN(J27*$K$1,0)</f>
        <v>487</v>
      </c>
      <c r="V27" s="118">
        <f>ROUNDDOWN(S27*U27,0)</f>
        <v>0</v>
      </c>
      <c r="W27" s="119">
        <f>L27</f>
        <v>0</v>
      </c>
    </row>
    <row r="28" spans="2:23" s="122" customFormat="1" x14ac:dyDescent="0.4">
      <c r="B28" s="112"/>
      <c r="C28" s="114"/>
      <c r="D28" s="113"/>
      <c r="E28" s="113" t="s">
        <v>111</v>
      </c>
      <c r="F28" s="113"/>
      <c r="G28" s="114"/>
      <c r="H28" s="115">
        <v>5</v>
      </c>
      <c r="I28" s="116" t="s">
        <v>94</v>
      </c>
      <c r="J28" s="117">
        <v>25000</v>
      </c>
      <c r="K28" s="118">
        <f>ROUNDDOWN(H28*J28,0)</f>
        <v>125000</v>
      </c>
      <c r="L28" s="160">
        <f>SUM(K22:K28)</f>
        <v>212226</v>
      </c>
      <c r="M28" s="119">
        <f>B28</f>
        <v>0</v>
      </c>
      <c r="N28" s="67">
        <f t="shared" si="1"/>
        <v>0</v>
      </c>
      <c r="O28" s="119"/>
      <c r="P28" s="119" t="str">
        <f>E28</f>
        <v>・本体組立費</v>
      </c>
      <c r="Q28" s="119"/>
      <c r="R28" s="119"/>
      <c r="S28" s="115">
        <f t="shared" si="3"/>
        <v>5</v>
      </c>
      <c r="T28" s="119" t="str">
        <f t="shared" si="3"/>
        <v>人</v>
      </c>
      <c r="U28" s="117">
        <f>ROUNDDOWN(J28*$K$1,0)</f>
        <v>37500</v>
      </c>
      <c r="V28" s="118">
        <f>ROUNDDOWN(S28*U28,0)</f>
        <v>187500</v>
      </c>
      <c r="W28" s="160">
        <f>SUM(V22:V28)</f>
        <v>318314</v>
      </c>
    </row>
    <row r="29" spans="2:23" x14ac:dyDescent="0.4">
      <c r="B29" s="60" t="s">
        <v>106</v>
      </c>
      <c r="C29" s="60" t="s">
        <v>54</v>
      </c>
      <c r="D29" s="62"/>
      <c r="E29" s="62" t="s">
        <v>55</v>
      </c>
      <c r="F29" s="62"/>
      <c r="G29" s="61"/>
      <c r="H29" s="63">
        <f>ROUNDUP((4.8+2.2)*2/0.91,0)</f>
        <v>16</v>
      </c>
      <c r="I29" s="64" t="s">
        <v>40</v>
      </c>
      <c r="J29" s="65">
        <f>ROUNDDOWN($G$1*1528/6*8,0)</f>
        <v>1833</v>
      </c>
      <c r="K29" s="66">
        <f>ROUNDDOWN(H29*J29,0)</f>
        <v>29328</v>
      </c>
      <c r="L29" s="61"/>
      <c r="M29" s="67" t="str">
        <f>B29</f>
        <v>本体</v>
      </c>
      <c r="N29" s="67" t="str">
        <f t="shared" si="1"/>
        <v>３．外部面材等</v>
      </c>
      <c r="O29" s="67"/>
      <c r="P29" s="67" t="str">
        <f>E29</f>
        <v>・OSB合板9×910×2,420</v>
      </c>
      <c r="Q29" s="67"/>
      <c r="R29" s="67"/>
      <c r="S29" s="63">
        <f t="shared" si="3"/>
        <v>16</v>
      </c>
      <c r="T29" s="67" t="str">
        <f t="shared" si="3"/>
        <v>枚</v>
      </c>
      <c r="U29" s="65">
        <f t="shared" ref="U29:U62" si="7">ROUNDDOWN(J29*$K$1,0)</f>
        <v>2749</v>
      </c>
      <c r="V29" s="66">
        <f>ROUNDDOWN(S29*U29,0)</f>
        <v>43984</v>
      </c>
      <c r="W29" s="67">
        <f>L29</f>
        <v>0</v>
      </c>
    </row>
    <row r="30" spans="2:23" x14ac:dyDescent="0.4">
      <c r="B30" s="60"/>
      <c r="C30" s="61"/>
      <c r="D30" s="62"/>
      <c r="E30" s="62" t="s">
        <v>56</v>
      </c>
      <c r="F30" s="62"/>
      <c r="G30" s="61"/>
      <c r="H30" s="63">
        <v>0</v>
      </c>
      <c r="I30" s="64" t="s">
        <v>40</v>
      </c>
      <c r="J30" s="65">
        <f>ROUNDDOWN($G$1*1528,0)</f>
        <v>1375</v>
      </c>
      <c r="K30" s="66">
        <f>ROUNDDOWN(H30*J30,0)</f>
        <v>0</v>
      </c>
      <c r="L30" s="61"/>
      <c r="M30" s="67">
        <f>B30</f>
        <v>0</v>
      </c>
      <c r="N30" s="67">
        <f t="shared" si="1"/>
        <v>0</v>
      </c>
      <c r="O30" s="67"/>
      <c r="P30" s="67" t="str">
        <f>E30</f>
        <v>・OSB合板9×910×1,820</v>
      </c>
      <c r="Q30" s="67"/>
      <c r="R30" s="67"/>
      <c r="S30" s="63">
        <f t="shared" si="3"/>
        <v>0</v>
      </c>
      <c r="T30" s="67" t="str">
        <f t="shared" si="3"/>
        <v>枚</v>
      </c>
      <c r="U30" s="65">
        <f t="shared" si="7"/>
        <v>2062</v>
      </c>
      <c r="V30" s="66">
        <f>ROUNDDOWN(S30*U30,0)</f>
        <v>0</v>
      </c>
      <c r="W30" s="67">
        <f>L30</f>
        <v>0</v>
      </c>
    </row>
    <row r="31" spans="2:23" x14ac:dyDescent="0.4">
      <c r="B31" s="60"/>
      <c r="C31" s="61"/>
      <c r="D31" s="62"/>
      <c r="E31" s="62" t="s">
        <v>57</v>
      </c>
      <c r="F31" s="62"/>
      <c r="G31" s="61"/>
      <c r="H31" s="63">
        <f>ROUNDUP((3.64+4.55)*2*3/50,0)</f>
        <v>1</v>
      </c>
      <c r="I31" s="64" t="s">
        <v>35</v>
      </c>
      <c r="J31" s="65">
        <f>ROUNDDOWN($G$1*1200,0)</f>
        <v>1080</v>
      </c>
      <c r="K31" s="66">
        <f>ROUNDDOWN(H31*J31,0)</f>
        <v>1080</v>
      </c>
      <c r="L31" s="68"/>
      <c r="M31" s="67">
        <f>B31</f>
        <v>0</v>
      </c>
      <c r="N31" s="67">
        <f t="shared" si="1"/>
        <v>0</v>
      </c>
      <c r="O31" s="67"/>
      <c r="P31" s="67" t="str">
        <f>E31</f>
        <v>・防湿シート50m巻き</v>
      </c>
      <c r="Q31" s="67"/>
      <c r="R31" s="67"/>
      <c r="S31" s="63">
        <f t="shared" si="3"/>
        <v>1</v>
      </c>
      <c r="T31" s="67" t="str">
        <f t="shared" si="3"/>
        <v>本</v>
      </c>
      <c r="U31" s="65">
        <f t="shared" si="7"/>
        <v>1620</v>
      </c>
      <c r="V31" s="66">
        <f>ROUNDDOWN(S31*U31,0)</f>
        <v>1620</v>
      </c>
      <c r="W31" s="67">
        <f>L31</f>
        <v>0</v>
      </c>
    </row>
    <row r="32" spans="2:23" x14ac:dyDescent="0.4">
      <c r="B32" s="60"/>
      <c r="C32" s="61"/>
      <c r="D32" s="62"/>
      <c r="E32" s="62" t="s">
        <v>112</v>
      </c>
      <c r="F32" s="62"/>
      <c r="G32" s="61"/>
      <c r="H32" s="63">
        <v>1</v>
      </c>
      <c r="I32" s="64" t="s">
        <v>94</v>
      </c>
      <c r="J32" s="117">
        <v>25000</v>
      </c>
      <c r="K32" s="66">
        <f>ROUNDDOWN(H32*J32,0)</f>
        <v>25000</v>
      </c>
      <c r="L32" s="160">
        <f>SUM(K29:K32)</f>
        <v>55408</v>
      </c>
      <c r="M32" s="67">
        <f>B32</f>
        <v>0</v>
      </c>
      <c r="N32" s="67">
        <f t="shared" si="1"/>
        <v>0</v>
      </c>
      <c r="O32" s="67"/>
      <c r="P32" s="67" t="str">
        <f>E32</f>
        <v>・合板施工費</v>
      </c>
      <c r="Q32" s="67"/>
      <c r="R32" s="67"/>
      <c r="S32" s="63">
        <f t="shared" si="3"/>
        <v>1</v>
      </c>
      <c r="T32" s="67" t="str">
        <f t="shared" si="3"/>
        <v>人</v>
      </c>
      <c r="U32" s="65">
        <f t="shared" si="7"/>
        <v>37500</v>
      </c>
      <c r="V32" s="66">
        <f>ROUNDDOWN(S32*U32,0)</f>
        <v>37500</v>
      </c>
      <c r="W32" s="160">
        <f>SUM(V29:V32)</f>
        <v>83104</v>
      </c>
    </row>
    <row r="33" spans="2:23" x14ac:dyDescent="0.4">
      <c r="B33" s="112" t="s">
        <v>106</v>
      </c>
      <c r="C33" s="112" t="s">
        <v>66</v>
      </c>
      <c r="D33" s="114"/>
      <c r="E33" s="114" t="s">
        <v>156</v>
      </c>
      <c r="F33" s="114"/>
      <c r="G33" s="120"/>
      <c r="H33" s="115">
        <f>ROUNDUP(5*4.5,0)</f>
        <v>23</v>
      </c>
      <c r="I33" s="116" t="s">
        <v>155</v>
      </c>
      <c r="J33" s="117">
        <f>ROUNDDOWN($G$1*2300,0)</f>
        <v>2070</v>
      </c>
      <c r="K33" s="118">
        <f t="shared" ref="K33:K58" si="8">ROUNDDOWN(H33*J33,0)</f>
        <v>47610</v>
      </c>
      <c r="L33" s="114"/>
      <c r="M33" s="119" t="str">
        <f t="shared" ref="M33:N52" si="9">B33</f>
        <v>本体</v>
      </c>
      <c r="N33" s="67" t="str">
        <f t="shared" si="1"/>
        <v>５．断熱材</v>
      </c>
      <c r="O33" s="119"/>
      <c r="P33" s="119" t="str">
        <f t="shared" ref="P33:P52" si="10">E33</f>
        <v>・床グラスウール90㎜</v>
      </c>
      <c r="Q33" s="119"/>
      <c r="R33" s="119"/>
      <c r="S33" s="115">
        <f t="shared" si="3"/>
        <v>23</v>
      </c>
      <c r="T33" s="119" t="str">
        <f t="shared" si="3"/>
        <v>坪</v>
      </c>
      <c r="U33" s="117">
        <f t="shared" si="7"/>
        <v>3105</v>
      </c>
      <c r="V33" s="118">
        <f t="shared" ref="V33:V52" si="11">ROUNDDOWN(S33*U33,0)</f>
        <v>71415</v>
      </c>
      <c r="W33" s="119">
        <f t="shared" ref="W33:W52" si="12">L33</f>
        <v>0</v>
      </c>
    </row>
    <row r="34" spans="2:23" x14ac:dyDescent="0.4">
      <c r="B34" s="112"/>
      <c r="C34" s="114"/>
      <c r="D34" s="113"/>
      <c r="E34" s="114" t="s">
        <v>157</v>
      </c>
      <c r="F34" s="113"/>
      <c r="G34" s="114"/>
      <c r="H34" s="115">
        <f>ROUNDUP((2.2+4.8)*2*2.2/3.3124,0)</f>
        <v>10</v>
      </c>
      <c r="I34" s="116" t="s">
        <v>155</v>
      </c>
      <c r="J34" s="117">
        <f>ROUNDDOWN($G$1*2300,0)</f>
        <v>2070</v>
      </c>
      <c r="K34" s="118">
        <f t="shared" si="8"/>
        <v>20700</v>
      </c>
      <c r="L34" s="114"/>
      <c r="M34" s="119">
        <f t="shared" si="9"/>
        <v>0</v>
      </c>
      <c r="N34" s="67">
        <f t="shared" si="1"/>
        <v>0</v>
      </c>
      <c r="O34" s="119"/>
      <c r="P34" s="119" t="str">
        <f t="shared" si="10"/>
        <v>・壁グラスウール91㎜</v>
      </c>
      <c r="Q34" s="119"/>
      <c r="R34" s="119"/>
      <c r="S34" s="115">
        <f t="shared" si="3"/>
        <v>10</v>
      </c>
      <c r="T34" s="119" t="str">
        <f t="shared" si="3"/>
        <v>坪</v>
      </c>
      <c r="U34" s="117">
        <f t="shared" si="7"/>
        <v>3105</v>
      </c>
      <c r="V34" s="118">
        <f t="shared" si="11"/>
        <v>31050</v>
      </c>
      <c r="W34" s="119">
        <f t="shared" si="12"/>
        <v>0</v>
      </c>
    </row>
    <row r="35" spans="2:23" x14ac:dyDescent="0.4">
      <c r="B35" s="112"/>
      <c r="C35" s="114"/>
      <c r="D35" s="113"/>
      <c r="E35" s="114" t="s">
        <v>158</v>
      </c>
      <c r="F35" s="113"/>
      <c r="G35" s="114"/>
      <c r="H35" s="115">
        <f>ROUNDUP(2.2*4.8,0)</f>
        <v>11</v>
      </c>
      <c r="I35" s="116" t="s">
        <v>155</v>
      </c>
      <c r="J35" s="117">
        <f>ROUNDDOWN($G$1*2300,0)</f>
        <v>2070</v>
      </c>
      <c r="K35" s="118">
        <f t="shared" si="8"/>
        <v>22770</v>
      </c>
      <c r="L35" s="160">
        <f>SUM(K33:K35)</f>
        <v>91080</v>
      </c>
      <c r="M35" s="119">
        <f t="shared" si="9"/>
        <v>0</v>
      </c>
      <c r="N35" s="67">
        <f t="shared" si="1"/>
        <v>0</v>
      </c>
      <c r="O35" s="119"/>
      <c r="P35" s="119" t="str">
        <f t="shared" si="10"/>
        <v>・天井グラスウール92㎜</v>
      </c>
      <c r="Q35" s="119"/>
      <c r="R35" s="119"/>
      <c r="S35" s="115">
        <f t="shared" si="3"/>
        <v>11</v>
      </c>
      <c r="T35" s="119" t="str">
        <f t="shared" si="3"/>
        <v>坪</v>
      </c>
      <c r="U35" s="117">
        <f t="shared" si="7"/>
        <v>3105</v>
      </c>
      <c r="V35" s="118">
        <f t="shared" si="11"/>
        <v>34155</v>
      </c>
      <c r="W35" s="160">
        <f>SUM(V33:V35)</f>
        <v>136620</v>
      </c>
    </row>
    <row r="36" spans="2:23" x14ac:dyDescent="0.4">
      <c r="B36" s="112" t="s">
        <v>106</v>
      </c>
      <c r="C36" s="112" t="s">
        <v>109</v>
      </c>
      <c r="D36" s="113"/>
      <c r="E36" s="114" t="s">
        <v>58</v>
      </c>
      <c r="F36" s="113"/>
      <c r="G36" s="114"/>
      <c r="H36" s="115">
        <f>ROUNDUP(2.2*4.8,0)</f>
        <v>11</v>
      </c>
      <c r="I36" s="116" t="s">
        <v>113</v>
      </c>
      <c r="J36" s="117">
        <f>ROUNDDOWN($G$1*2300,0)</f>
        <v>2070</v>
      </c>
      <c r="K36" s="118">
        <f>ROUNDDOWN(H36*J36,0)</f>
        <v>22770</v>
      </c>
      <c r="L36" s="114" t="s">
        <v>60</v>
      </c>
      <c r="M36" s="119" t="str">
        <f>B36</f>
        <v>本体</v>
      </c>
      <c r="N36" s="67" t="str">
        <f t="shared" si="1"/>
        <v>４．屋根外壁工事</v>
      </c>
      <c r="O36" s="119"/>
      <c r="P36" s="119" t="str">
        <f>E36</f>
        <v>・屋根ガルバニュウム鋼板</v>
      </c>
      <c r="Q36" s="119"/>
      <c r="R36" s="119"/>
      <c r="S36" s="115">
        <f>H36</f>
        <v>11</v>
      </c>
      <c r="T36" s="119" t="str">
        <f>I36</f>
        <v>㎡</v>
      </c>
      <c r="U36" s="117">
        <f>ROUNDDOWN(J36*$K$1,0)</f>
        <v>3105</v>
      </c>
      <c r="V36" s="118">
        <f>ROUNDDOWN(S36*U36,0)</f>
        <v>34155</v>
      </c>
      <c r="W36" s="119" t="str">
        <f>L36</f>
        <v>4.5m×5本 素地</v>
      </c>
    </row>
    <row r="37" spans="2:23" x14ac:dyDescent="0.4">
      <c r="B37" s="112" t="s">
        <v>61</v>
      </c>
      <c r="C37" s="114" t="s">
        <v>110</v>
      </c>
      <c r="D37" s="113"/>
      <c r="E37" s="113" t="s">
        <v>62</v>
      </c>
      <c r="F37" s="113"/>
      <c r="G37" s="114"/>
      <c r="H37" s="115">
        <v>5</v>
      </c>
      <c r="I37" s="116" t="s">
        <v>35</v>
      </c>
      <c r="J37" s="117">
        <f>ROUNDDOWN($G$1*1500,0)</f>
        <v>1350</v>
      </c>
      <c r="K37" s="118">
        <f>ROUNDDOWN(H37*J37,0)</f>
        <v>6750</v>
      </c>
      <c r="L37" s="114" t="s">
        <v>63</v>
      </c>
      <c r="M37" s="119" t="str">
        <f>B37</f>
        <v>　</v>
      </c>
      <c r="N37" s="67" t="str">
        <f t="shared" si="1"/>
        <v>　（ガルバ色洗濯可能）</v>
      </c>
      <c r="O37" s="119"/>
      <c r="P37" s="119" t="str">
        <f>E37</f>
        <v>・取外し水切り糸長150㎜４ｍ</v>
      </c>
      <c r="Q37" s="119"/>
      <c r="R37" s="119"/>
      <c r="S37" s="115">
        <f>H37</f>
        <v>5</v>
      </c>
      <c r="T37" s="119" t="str">
        <f>I37</f>
        <v>本</v>
      </c>
      <c r="U37" s="117">
        <f>ROUNDDOWN(J37*$K$1,0)</f>
        <v>2025</v>
      </c>
      <c r="V37" s="118">
        <f>ROUNDDOWN(S37*U37,0)</f>
        <v>10125</v>
      </c>
      <c r="W37" s="119" t="str">
        <f>L37</f>
        <v>L=2,300㎜</v>
      </c>
    </row>
    <row r="38" spans="2:23" x14ac:dyDescent="0.4">
      <c r="B38" s="112"/>
      <c r="C38" s="114"/>
      <c r="D38" s="113"/>
      <c r="E38" s="113" t="s">
        <v>114</v>
      </c>
      <c r="F38" s="113"/>
      <c r="G38" s="114"/>
      <c r="H38" s="115">
        <f>ROUNDUP((4.8+2.2)*2*2.3,0)</f>
        <v>33</v>
      </c>
      <c r="I38" s="116" t="s">
        <v>113</v>
      </c>
      <c r="J38" s="117">
        <f>ROUNDDOWN($G$1*6500,0)</f>
        <v>5850</v>
      </c>
      <c r="K38" s="118">
        <f>ROUNDDOWN(H38*J38,0)</f>
        <v>193050</v>
      </c>
      <c r="L38" s="114" t="s">
        <v>63</v>
      </c>
      <c r="M38" s="119">
        <f>B38</f>
        <v>0</v>
      </c>
      <c r="N38" s="67">
        <f t="shared" si="1"/>
        <v>0</v>
      </c>
      <c r="O38" s="119"/>
      <c r="P38" s="119" t="str">
        <f>E38</f>
        <v>・外壁角スパンガルバ鋼板</v>
      </c>
      <c r="Q38" s="119"/>
      <c r="R38" s="119"/>
      <c r="S38" s="115">
        <f>H38</f>
        <v>33</v>
      </c>
      <c r="T38" s="119" t="str">
        <f>I38</f>
        <v>㎡</v>
      </c>
      <c r="U38" s="117">
        <f>ROUNDDOWN(J38*$K$1,0)</f>
        <v>8775</v>
      </c>
      <c r="V38" s="118">
        <f>ROUNDDOWN(S38*U38,0)</f>
        <v>289575</v>
      </c>
      <c r="W38" s="119" t="str">
        <f>L38</f>
        <v>L=2,300㎜</v>
      </c>
    </row>
    <row r="39" spans="2:23" x14ac:dyDescent="0.4">
      <c r="B39" s="112"/>
      <c r="C39" s="114"/>
      <c r="D39" s="114"/>
      <c r="E39" s="114" t="s">
        <v>64</v>
      </c>
      <c r="F39" s="114"/>
      <c r="G39" s="120"/>
      <c r="H39" s="115">
        <f>ROUNDUP(4,2)</f>
        <v>4</v>
      </c>
      <c r="I39" s="116" t="s">
        <v>35</v>
      </c>
      <c r="J39" s="117">
        <f>ROUNDDOWN($G$1*3500,0)</f>
        <v>3150</v>
      </c>
      <c r="K39" s="118">
        <f>ROUNDDOWN(H39*J39,0)</f>
        <v>12600</v>
      </c>
      <c r="L39" s="114"/>
      <c r="M39" s="119">
        <f>B39</f>
        <v>0</v>
      </c>
      <c r="N39" s="67">
        <f t="shared" si="1"/>
        <v>0</v>
      </c>
      <c r="O39" s="119"/>
      <c r="P39" s="119" t="str">
        <f>E39</f>
        <v>・唐草下がり40㎜L=3m</v>
      </c>
      <c r="Q39" s="119"/>
      <c r="R39" s="119"/>
      <c r="S39" s="115">
        <f>H39</f>
        <v>4</v>
      </c>
      <c r="T39" s="119" t="str">
        <f>I39</f>
        <v>本</v>
      </c>
      <c r="U39" s="117">
        <f>ROUNDDOWN(J39*$K$1,0)</f>
        <v>4725</v>
      </c>
      <c r="V39" s="118">
        <f>ROUNDDOWN(S39*U39,0)</f>
        <v>18900</v>
      </c>
      <c r="W39" s="119">
        <f>L39</f>
        <v>0</v>
      </c>
    </row>
    <row r="40" spans="2:23" x14ac:dyDescent="0.4">
      <c r="B40" s="112"/>
      <c r="C40" s="114"/>
      <c r="D40" s="113"/>
      <c r="E40" s="113" t="s">
        <v>65</v>
      </c>
      <c r="F40" s="113"/>
      <c r="G40" s="114"/>
      <c r="H40" s="115">
        <f>ROUNDUP(2.2*4.8,2)</f>
        <v>10.56</v>
      </c>
      <c r="I40" s="116" t="s">
        <v>113</v>
      </c>
      <c r="J40" s="117">
        <f>ROUNDDOWN($G$1*1500,0)</f>
        <v>1350</v>
      </c>
      <c r="K40" s="118">
        <f>ROUNDDOWN(H40*J40,0)</f>
        <v>14256</v>
      </c>
      <c r="L40" s="114"/>
      <c r="M40" s="119">
        <f>B40</f>
        <v>0</v>
      </c>
      <c r="N40" s="67">
        <f t="shared" si="1"/>
        <v>0</v>
      </c>
      <c r="O40" s="119"/>
      <c r="P40" s="119" t="str">
        <f>E40</f>
        <v>・床下用ガルバニュウム鋼板</v>
      </c>
      <c r="Q40" s="119"/>
      <c r="R40" s="119"/>
      <c r="S40" s="115">
        <f>H40</f>
        <v>10.56</v>
      </c>
      <c r="T40" s="119" t="str">
        <f>I40</f>
        <v>㎡</v>
      </c>
      <c r="U40" s="117">
        <f>ROUNDDOWN(J40*$K$1,0)</f>
        <v>2025</v>
      </c>
      <c r="V40" s="118">
        <f>ROUNDDOWN(S40*U40,0)</f>
        <v>21384</v>
      </c>
      <c r="W40" s="119">
        <f>L40</f>
        <v>0</v>
      </c>
    </row>
    <row r="41" spans="2:23" x14ac:dyDescent="0.4">
      <c r="B41" s="112"/>
      <c r="C41" s="114"/>
      <c r="D41" s="113"/>
      <c r="E41" s="113" t="s">
        <v>116</v>
      </c>
      <c r="F41" s="113"/>
      <c r="G41" s="114"/>
      <c r="H41" s="115">
        <v>0</v>
      </c>
      <c r="I41" s="116" t="s">
        <v>59</v>
      </c>
      <c r="J41" s="117">
        <f>ROUNDDOWN($G$1*7800,0)</f>
        <v>7020</v>
      </c>
      <c r="K41" s="118">
        <f>ROUNDDOWN(H41*J41,0)</f>
        <v>0</v>
      </c>
      <c r="L41" s="114"/>
      <c r="M41" s="119">
        <f>B41</f>
        <v>0</v>
      </c>
      <c r="N41" s="67">
        <f t="shared" si="1"/>
        <v>0</v>
      </c>
      <c r="O41" s="119"/>
      <c r="P41" s="119" t="str">
        <f>E41</f>
        <v>・下見板張り（防腐剤塗り共）</v>
      </c>
      <c r="Q41" s="119"/>
      <c r="R41" s="119"/>
      <c r="S41" s="115">
        <f>H41</f>
        <v>0</v>
      </c>
      <c r="T41" s="119" t="str">
        <f>I41</f>
        <v>ｍ</v>
      </c>
      <c r="U41" s="117">
        <f>ROUNDDOWN(J41*$K$1,0)</f>
        <v>10530</v>
      </c>
      <c r="V41" s="118">
        <f>ROUNDDOWN(S41*U41,0)</f>
        <v>0</v>
      </c>
      <c r="W41" s="119">
        <f>L41</f>
        <v>0</v>
      </c>
    </row>
    <row r="42" spans="2:23" x14ac:dyDescent="0.4">
      <c r="B42" s="112"/>
      <c r="C42" s="114"/>
      <c r="D42" s="113"/>
      <c r="E42" s="113" t="s">
        <v>115</v>
      </c>
      <c r="F42" s="113"/>
      <c r="G42" s="114"/>
      <c r="H42" s="115">
        <v>3</v>
      </c>
      <c r="I42" s="116" t="s">
        <v>94</v>
      </c>
      <c r="J42" s="117">
        <f>ROUNDDOWN($G$1*25000,0)</f>
        <v>22500</v>
      </c>
      <c r="K42" s="118">
        <f>ROUNDDOWN(H42*J42,0)</f>
        <v>67500</v>
      </c>
      <c r="L42" s="160">
        <f>SUM(K36:K42)</f>
        <v>316926</v>
      </c>
      <c r="M42" s="119">
        <f>B42</f>
        <v>0</v>
      </c>
      <c r="N42" s="67">
        <f t="shared" si="1"/>
        <v>0</v>
      </c>
      <c r="O42" s="119"/>
      <c r="P42" s="119" t="str">
        <f>E42</f>
        <v>・外壁張り手間</v>
      </c>
      <c r="Q42" s="119"/>
      <c r="R42" s="119"/>
      <c r="S42" s="115">
        <f>H42</f>
        <v>3</v>
      </c>
      <c r="T42" s="119" t="str">
        <f>I42</f>
        <v>人</v>
      </c>
      <c r="U42" s="117">
        <f>ROUNDDOWN(J42*$K$1,0)</f>
        <v>33750</v>
      </c>
      <c r="V42" s="118">
        <f>ROUNDDOWN(S42*U42,0)</f>
        <v>101250</v>
      </c>
      <c r="W42" s="160">
        <f>SUM(V36:V42)</f>
        <v>475389</v>
      </c>
    </row>
    <row r="43" spans="2:23" x14ac:dyDescent="0.4">
      <c r="B43" s="112" t="s">
        <v>106</v>
      </c>
      <c r="C43" s="114" t="s">
        <v>117</v>
      </c>
      <c r="D43" s="113"/>
      <c r="E43" s="114" t="s">
        <v>151</v>
      </c>
      <c r="F43" s="113"/>
      <c r="G43" s="114"/>
      <c r="H43" s="115">
        <v>0</v>
      </c>
      <c r="I43" s="116" t="s">
        <v>40</v>
      </c>
      <c r="J43" s="117">
        <v>45000</v>
      </c>
      <c r="K43" s="118">
        <f>ROUNDDOWN(H43*J43,0)</f>
        <v>0</v>
      </c>
      <c r="L43" s="114" t="s">
        <v>150</v>
      </c>
      <c r="M43" s="119" t="str">
        <f t="shared" ref="M43" si="13">B43</f>
        <v>本体</v>
      </c>
      <c r="N43" s="67" t="str">
        <f t="shared" si="1"/>
        <v>５．サッシ木製建具工事</v>
      </c>
      <c r="O43" s="119"/>
      <c r="P43" s="119" t="str">
        <f t="shared" ref="P43" si="14">E43</f>
        <v>・木製建具（クローゼット）</v>
      </c>
      <c r="Q43" s="119"/>
      <c r="R43" s="119"/>
      <c r="S43" s="115">
        <f t="shared" ref="S43:T43" si="15">H43</f>
        <v>0</v>
      </c>
      <c r="T43" s="119" t="str">
        <f t="shared" si="15"/>
        <v>枚</v>
      </c>
      <c r="U43" s="117">
        <f>ROUNDDOWN(J43*$K$1,0)</f>
        <v>67500</v>
      </c>
      <c r="V43" s="118">
        <f t="shared" ref="V43" si="16">ROUNDDOWN(S43*U43,0)</f>
        <v>0</v>
      </c>
      <c r="W43" s="119" t="str">
        <f t="shared" ref="W43" si="17">L43</f>
        <v>収納分</v>
      </c>
    </row>
    <row r="44" spans="2:23" s="69" customFormat="1" x14ac:dyDescent="0.4">
      <c r="B44" s="112"/>
      <c r="C44" s="114"/>
      <c r="D44" s="114"/>
      <c r="E44" s="114" t="s">
        <v>82</v>
      </c>
      <c r="F44" s="114" t="s">
        <v>83</v>
      </c>
      <c r="G44" s="120"/>
      <c r="H44" s="115">
        <v>1</v>
      </c>
      <c r="I44" s="116" t="s">
        <v>77</v>
      </c>
      <c r="J44" s="117">
        <f>ROUNDDOWN($G$1*180000,0)</f>
        <v>162000</v>
      </c>
      <c r="K44" s="118">
        <f>ROUNDDOWN(H44*J44,0)</f>
        <v>162000</v>
      </c>
      <c r="L44" s="114"/>
      <c r="M44" s="119">
        <f>B44</f>
        <v>0</v>
      </c>
      <c r="N44" s="67">
        <f t="shared" si="1"/>
        <v>0</v>
      </c>
      <c r="O44" s="119"/>
      <c r="P44" s="119" t="str">
        <f>E44</f>
        <v>・サッシ</v>
      </c>
      <c r="Q44" s="119"/>
      <c r="R44" s="119"/>
      <c r="S44" s="115">
        <f>H44</f>
        <v>1</v>
      </c>
      <c r="T44" s="119" t="str">
        <f>I44</f>
        <v>台</v>
      </c>
      <c r="U44" s="117">
        <f>ROUNDDOWN(J44*$K$1,0)</f>
        <v>243000</v>
      </c>
      <c r="V44" s="118">
        <f>ROUNDDOWN(S44*U44,0)</f>
        <v>243000</v>
      </c>
      <c r="W44" s="119">
        <f>L44</f>
        <v>0</v>
      </c>
    </row>
    <row r="45" spans="2:23" s="69" customFormat="1" x14ac:dyDescent="0.4">
      <c r="B45" s="112"/>
      <c r="C45" s="114"/>
      <c r="D45" s="113"/>
      <c r="E45" s="114"/>
      <c r="F45" s="113" t="s">
        <v>84</v>
      </c>
      <c r="G45" s="114"/>
      <c r="H45" s="115">
        <v>1</v>
      </c>
      <c r="I45" s="116" t="s">
        <v>85</v>
      </c>
      <c r="J45" s="117">
        <f>ROUNDDOWN($G$1*125000,0)</f>
        <v>112500</v>
      </c>
      <c r="K45" s="118">
        <f>ROUNDDOWN(H45*J45,0)</f>
        <v>112500</v>
      </c>
      <c r="L45" s="160">
        <f>SUM(K43:K45)</f>
        <v>274500</v>
      </c>
      <c r="M45" s="119">
        <f>B45</f>
        <v>0</v>
      </c>
      <c r="N45" s="67">
        <f t="shared" si="1"/>
        <v>0</v>
      </c>
      <c r="O45" s="119"/>
      <c r="P45" s="119">
        <f>E45</f>
        <v>0</v>
      </c>
      <c r="Q45" s="119"/>
      <c r="R45" s="119"/>
      <c r="S45" s="115">
        <f>H45</f>
        <v>1</v>
      </c>
      <c r="T45" s="119" t="str">
        <f>I45</f>
        <v>式</v>
      </c>
      <c r="U45" s="117">
        <f>ROUNDDOWN(J45*$K$1,0)</f>
        <v>168750</v>
      </c>
      <c r="V45" s="118">
        <f>ROUNDDOWN(S45*U45,0)</f>
        <v>168750</v>
      </c>
      <c r="W45" s="160">
        <f>SUM(V43:V45)</f>
        <v>411750</v>
      </c>
    </row>
    <row r="46" spans="2:23" x14ac:dyDescent="0.4">
      <c r="B46" s="141" t="s">
        <v>118</v>
      </c>
      <c r="C46" s="142"/>
      <c r="D46" s="143"/>
      <c r="E46" s="143"/>
      <c r="F46" s="143"/>
      <c r="G46" s="142"/>
      <c r="H46" s="144">
        <v>1</v>
      </c>
      <c r="I46" s="145" t="s">
        <v>85</v>
      </c>
      <c r="J46" s="146"/>
      <c r="K46" s="147">
        <f>ROUNDDOWN(SUM(K15:K45)*$J$1,0)</f>
        <v>148074</v>
      </c>
      <c r="L46" s="142"/>
      <c r="M46" s="141" t="str">
        <f t="shared" ref="M46:M47" si="18">B46</f>
        <v>本体諸費用（交通費、労災、安全管理費等）</v>
      </c>
      <c r="N46" s="148"/>
      <c r="O46" s="148"/>
      <c r="P46" s="143"/>
      <c r="Q46" s="143"/>
      <c r="R46" s="142"/>
      <c r="S46" s="144">
        <f t="shared" ref="S46:T47" si="19">H46</f>
        <v>1</v>
      </c>
      <c r="T46" s="141" t="str">
        <f t="shared" si="19"/>
        <v>式</v>
      </c>
      <c r="U46" s="146"/>
      <c r="V46" s="147">
        <f>ROUNDDOWN(SUM(V15:V45)*$J$1,0)</f>
        <v>222105</v>
      </c>
      <c r="W46" s="148">
        <f t="shared" ref="W46:W47" si="20">L46</f>
        <v>0</v>
      </c>
    </row>
    <row r="47" spans="2:23" s="122" customFormat="1" x14ac:dyDescent="0.4">
      <c r="B47" s="128" t="s">
        <v>137</v>
      </c>
      <c r="C47" s="129"/>
      <c r="D47" s="129"/>
      <c r="E47" s="129"/>
      <c r="F47" s="129"/>
      <c r="G47" s="130"/>
      <c r="H47" s="131"/>
      <c r="I47" s="132"/>
      <c r="J47" s="133"/>
      <c r="K47" s="134">
        <f>SUM(K15:K46)</f>
        <v>1135240</v>
      </c>
      <c r="L47" s="129"/>
      <c r="M47" s="135" t="str">
        <f t="shared" si="18"/>
        <v>【本体価格計】</v>
      </c>
      <c r="N47" s="135"/>
      <c r="O47" s="135"/>
      <c r="P47" s="135">
        <f t="shared" ref="P47" si="21">E47</f>
        <v>0</v>
      </c>
      <c r="Q47" s="135"/>
      <c r="R47" s="135"/>
      <c r="S47" s="131">
        <f t="shared" si="19"/>
        <v>0</v>
      </c>
      <c r="T47" s="135">
        <f t="shared" si="19"/>
        <v>0</v>
      </c>
      <c r="U47" s="133">
        <f t="shared" ref="U47" si="22">ROUNDDOWN(J47*$K$1,0)</f>
        <v>0</v>
      </c>
      <c r="V47" s="134">
        <f>SUM(V15:V46)</f>
        <v>1702810</v>
      </c>
      <c r="W47" s="135">
        <f t="shared" si="20"/>
        <v>0</v>
      </c>
    </row>
    <row r="48" spans="2:23" s="122" customFormat="1" x14ac:dyDescent="0.4">
      <c r="B48" s="112" t="s">
        <v>119</v>
      </c>
      <c r="C48" s="112" t="s">
        <v>120</v>
      </c>
      <c r="D48" s="114"/>
      <c r="E48" s="114" t="s">
        <v>152</v>
      </c>
      <c r="F48" s="114"/>
      <c r="G48" s="120"/>
      <c r="H48" s="115">
        <f>ROUNDUP(4.8*3.9-1.365*1.82,2)</f>
        <v>16.240000000000002</v>
      </c>
      <c r="I48" s="116" t="s">
        <v>70</v>
      </c>
      <c r="J48" s="117">
        <v>9800</v>
      </c>
      <c r="K48" s="118">
        <f t="shared" si="8"/>
        <v>159152</v>
      </c>
      <c r="L48" s="114" t="s">
        <v>71</v>
      </c>
      <c r="M48" s="119" t="str">
        <f t="shared" si="9"/>
        <v>ｵﾌﾟｼｮﾝ</v>
      </c>
      <c r="N48" s="67" t="str">
        <f t="shared" si="9"/>
        <v>１．内装仕上げ</v>
      </c>
      <c r="O48" s="119"/>
      <c r="P48" s="119" t="str">
        <f t="shared" si="10"/>
        <v>・床フローリング</v>
      </c>
      <c r="Q48" s="119"/>
      <c r="R48" s="119"/>
      <c r="S48" s="115">
        <f t="shared" si="3"/>
        <v>16.240000000000002</v>
      </c>
      <c r="T48" s="119" t="str">
        <f t="shared" si="3"/>
        <v>ｹｰｽ</v>
      </c>
      <c r="U48" s="117">
        <f t="shared" si="7"/>
        <v>14700</v>
      </c>
      <c r="V48" s="118">
        <f t="shared" si="11"/>
        <v>238728</v>
      </c>
      <c r="W48" s="119" t="str">
        <f t="shared" si="12"/>
        <v>クリア塗装品</v>
      </c>
    </row>
    <row r="49" spans="2:23" s="122" customFormat="1" x14ac:dyDescent="0.4">
      <c r="B49" s="112"/>
      <c r="C49" s="114"/>
      <c r="D49" s="114"/>
      <c r="E49" s="114" t="s">
        <v>153</v>
      </c>
      <c r="F49" s="114"/>
      <c r="G49" s="120"/>
      <c r="H49" s="115">
        <f>ROUNDUP((4.8+2.2)*2*2.2,2)</f>
        <v>30.8</v>
      </c>
      <c r="I49" s="116" t="s">
        <v>113</v>
      </c>
      <c r="J49" s="117">
        <v>2500</v>
      </c>
      <c r="K49" s="118">
        <f t="shared" si="8"/>
        <v>77000</v>
      </c>
      <c r="L49" s="114" t="s">
        <v>72</v>
      </c>
      <c r="M49" s="119">
        <f t="shared" si="9"/>
        <v>0</v>
      </c>
      <c r="N49" s="67">
        <f t="shared" si="9"/>
        <v>0</v>
      </c>
      <c r="O49" s="119"/>
      <c r="P49" s="119" t="str">
        <f t="shared" si="10"/>
        <v>・壁クロス仕上げ</v>
      </c>
      <c r="Q49" s="119"/>
      <c r="R49" s="119"/>
      <c r="S49" s="115">
        <f t="shared" si="3"/>
        <v>30.8</v>
      </c>
      <c r="T49" s="119" t="str">
        <f t="shared" si="3"/>
        <v>㎡</v>
      </c>
      <c r="U49" s="117">
        <f t="shared" si="7"/>
        <v>3750</v>
      </c>
      <c r="V49" s="118">
        <f t="shared" si="11"/>
        <v>115500</v>
      </c>
      <c r="W49" s="119" t="str">
        <f t="shared" si="12"/>
        <v>910×2,420</v>
      </c>
    </row>
    <row r="50" spans="2:23" s="122" customFormat="1" x14ac:dyDescent="0.4">
      <c r="B50" s="112"/>
      <c r="C50" s="114"/>
      <c r="D50" s="114"/>
      <c r="E50" s="114" t="s">
        <v>161</v>
      </c>
      <c r="F50" s="114"/>
      <c r="G50" s="115"/>
      <c r="H50" s="115">
        <f>$H$48</f>
        <v>16.240000000000002</v>
      </c>
      <c r="I50" s="116" t="s">
        <v>113</v>
      </c>
      <c r="J50" s="117">
        <v>2500</v>
      </c>
      <c r="K50" s="118">
        <f t="shared" ref="K50" si="23">ROUNDDOWN(H50*J50,0)</f>
        <v>40600</v>
      </c>
      <c r="L50" s="114" t="s">
        <v>73</v>
      </c>
      <c r="M50" s="119">
        <f t="shared" ref="M50" si="24">B50</f>
        <v>0</v>
      </c>
      <c r="N50" s="67">
        <f t="shared" ref="N50" si="25">C50</f>
        <v>0</v>
      </c>
      <c r="O50" s="119"/>
      <c r="P50" s="119" t="str">
        <f t="shared" ref="P50" si="26">E50</f>
        <v>・天井クロス仕上げ</v>
      </c>
      <c r="Q50" s="119"/>
      <c r="R50" s="119"/>
      <c r="S50" s="115">
        <f t="shared" ref="S50" si="27">H50</f>
        <v>16.240000000000002</v>
      </c>
      <c r="T50" s="119" t="str">
        <f t="shared" ref="T50" si="28">I50</f>
        <v>㎡</v>
      </c>
      <c r="U50" s="117">
        <f t="shared" ref="U50" si="29">ROUNDDOWN(J50*$K$1,0)</f>
        <v>3750</v>
      </c>
      <c r="V50" s="118">
        <f t="shared" ref="V50" si="30">ROUNDDOWN(S50*U50,0)</f>
        <v>60900</v>
      </c>
      <c r="W50" s="119" t="str">
        <f t="shared" ref="W50" si="31">L50</f>
        <v>910×1,820</v>
      </c>
    </row>
    <row r="51" spans="2:23" s="122" customFormat="1" x14ac:dyDescent="0.4">
      <c r="B51" s="112"/>
      <c r="C51" s="114"/>
      <c r="D51" s="114"/>
      <c r="E51" s="114" t="s">
        <v>165</v>
      </c>
      <c r="F51" s="114"/>
      <c r="G51" s="115"/>
      <c r="H51" s="115">
        <f>$H$48</f>
        <v>16.240000000000002</v>
      </c>
      <c r="I51" s="116" t="s">
        <v>113</v>
      </c>
      <c r="J51" s="117">
        <f>ROUNDDOWN($G$1*2100,0)</f>
        <v>1890</v>
      </c>
      <c r="K51" s="118">
        <f t="shared" si="8"/>
        <v>30693</v>
      </c>
      <c r="L51" s="114" t="s">
        <v>73</v>
      </c>
      <c r="M51" s="119">
        <f t="shared" si="9"/>
        <v>0</v>
      </c>
      <c r="N51" s="67">
        <f t="shared" si="9"/>
        <v>0</v>
      </c>
      <c r="O51" s="119"/>
      <c r="P51" s="119" t="str">
        <f t="shared" si="10"/>
        <v>・天井ラワンべニア</v>
      </c>
      <c r="Q51" s="119"/>
      <c r="R51" s="119"/>
      <c r="S51" s="115">
        <f t="shared" si="3"/>
        <v>16.240000000000002</v>
      </c>
      <c r="T51" s="119" t="str">
        <f t="shared" si="3"/>
        <v>㎡</v>
      </c>
      <c r="U51" s="117">
        <f t="shared" si="7"/>
        <v>2835</v>
      </c>
      <c r="V51" s="118">
        <f t="shared" si="11"/>
        <v>46040</v>
      </c>
      <c r="W51" s="119" t="str">
        <f t="shared" si="12"/>
        <v>910×1,820</v>
      </c>
    </row>
    <row r="52" spans="2:23" s="122" customFormat="1" x14ac:dyDescent="0.4">
      <c r="B52" s="112" t="s">
        <v>119</v>
      </c>
      <c r="C52" s="112" t="s">
        <v>121</v>
      </c>
      <c r="D52" s="113"/>
      <c r="E52" s="114" t="s">
        <v>76</v>
      </c>
      <c r="F52" s="113"/>
      <c r="G52" s="114"/>
      <c r="H52" s="115">
        <v>0</v>
      </c>
      <c r="I52" s="116" t="s">
        <v>77</v>
      </c>
      <c r="J52" s="117">
        <v>340000</v>
      </c>
      <c r="K52" s="118">
        <f t="shared" si="8"/>
        <v>0</v>
      </c>
      <c r="L52" s="114"/>
      <c r="M52" s="119" t="str">
        <f t="shared" si="9"/>
        <v>ｵﾌﾟｼｮﾝ</v>
      </c>
      <c r="N52" s="67" t="str">
        <f t="shared" si="9"/>
        <v>２．設備機器</v>
      </c>
      <c r="O52" s="119"/>
      <c r="P52" s="119" t="str">
        <f t="shared" si="10"/>
        <v>・ジャワ―トイレユニット1116</v>
      </c>
      <c r="Q52" s="119"/>
      <c r="R52" s="119"/>
      <c r="S52" s="115">
        <f t="shared" si="3"/>
        <v>0</v>
      </c>
      <c r="T52" s="119" t="str">
        <f t="shared" si="3"/>
        <v>台</v>
      </c>
      <c r="U52" s="117">
        <f t="shared" si="7"/>
        <v>510000</v>
      </c>
      <c r="V52" s="118">
        <f t="shared" si="11"/>
        <v>0</v>
      </c>
      <c r="W52" s="119">
        <f t="shared" si="12"/>
        <v>0</v>
      </c>
    </row>
    <row r="53" spans="2:23" s="123" customFormat="1" x14ac:dyDescent="0.4">
      <c r="B53" s="112"/>
      <c r="C53" s="114"/>
      <c r="D53" s="114"/>
      <c r="E53" s="114" t="s">
        <v>144</v>
      </c>
      <c r="F53" s="114"/>
      <c r="G53" s="120"/>
      <c r="H53" s="115">
        <v>0</v>
      </c>
      <c r="I53" s="116" t="s">
        <v>77</v>
      </c>
      <c r="J53" s="117">
        <v>150000</v>
      </c>
      <c r="K53" s="118">
        <f t="shared" si="8"/>
        <v>0</v>
      </c>
      <c r="L53" s="114"/>
      <c r="M53" s="119">
        <f>B53</f>
        <v>0</v>
      </c>
      <c r="N53" s="67">
        <f t="shared" ref="N53:N64" si="32">C53</f>
        <v>0</v>
      </c>
      <c r="O53" s="119"/>
      <c r="P53" s="119" t="str">
        <f>E53</f>
        <v>・ウォッシュレット</v>
      </c>
      <c r="Q53" s="119"/>
      <c r="R53" s="119"/>
      <c r="S53" s="115">
        <f>H53</f>
        <v>0</v>
      </c>
      <c r="T53" s="119" t="str">
        <f>I53</f>
        <v>台</v>
      </c>
      <c r="U53" s="117">
        <f t="shared" si="7"/>
        <v>225000</v>
      </c>
      <c r="V53" s="118">
        <f>ROUNDDOWN(S53*U53,0)</f>
        <v>0</v>
      </c>
      <c r="W53" s="119">
        <f>L53</f>
        <v>0</v>
      </c>
    </row>
    <row r="54" spans="2:23" s="123" customFormat="1" x14ac:dyDescent="0.4">
      <c r="B54" s="112"/>
      <c r="C54" s="114"/>
      <c r="D54" s="114"/>
      <c r="E54" s="114" t="s">
        <v>145</v>
      </c>
      <c r="F54" s="114"/>
      <c r="G54" s="120"/>
      <c r="H54" s="115">
        <v>0</v>
      </c>
      <c r="I54" s="116" t="s">
        <v>77</v>
      </c>
      <c r="J54" s="117">
        <v>125000</v>
      </c>
      <c r="K54" s="118">
        <f t="shared" si="8"/>
        <v>0</v>
      </c>
      <c r="L54" s="114"/>
      <c r="M54" s="119">
        <f>B54</f>
        <v>0</v>
      </c>
      <c r="N54" s="67">
        <f t="shared" si="32"/>
        <v>0</v>
      </c>
      <c r="O54" s="119"/>
      <c r="P54" s="119" t="str">
        <f>E54</f>
        <v>・ミニキッチン</v>
      </c>
      <c r="Q54" s="119"/>
      <c r="R54" s="119"/>
      <c r="S54" s="115">
        <f>H54</f>
        <v>0</v>
      </c>
      <c r="T54" s="119" t="str">
        <f>I54</f>
        <v>台</v>
      </c>
      <c r="U54" s="117">
        <f t="shared" si="7"/>
        <v>187500</v>
      </c>
      <c r="V54" s="118">
        <f>ROUNDDOWN(S54*U54,0)</f>
        <v>0</v>
      </c>
      <c r="W54" s="119">
        <f>L54</f>
        <v>0</v>
      </c>
    </row>
    <row r="55" spans="2:23" s="123" customFormat="1" x14ac:dyDescent="0.4">
      <c r="B55" s="112"/>
      <c r="C55" s="114"/>
      <c r="D55" s="114"/>
      <c r="E55" s="114" t="s">
        <v>78</v>
      </c>
      <c r="F55" s="114"/>
      <c r="G55" s="120"/>
      <c r="H55" s="115">
        <v>0</v>
      </c>
      <c r="I55" s="116" t="s">
        <v>77</v>
      </c>
      <c r="J55" s="117">
        <f>ROUNDDOWN($G$1*250000,0)</f>
        <v>225000</v>
      </c>
      <c r="K55" s="118">
        <f t="shared" si="8"/>
        <v>0</v>
      </c>
      <c r="L55" s="114"/>
      <c r="M55" s="119">
        <f>B55</f>
        <v>0</v>
      </c>
      <c r="N55" s="67">
        <f t="shared" si="32"/>
        <v>0</v>
      </c>
      <c r="O55" s="119"/>
      <c r="P55" s="119" t="str">
        <f>E55</f>
        <v>・エアコン</v>
      </c>
      <c r="Q55" s="119"/>
      <c r="R55" s="119"/>
      <c r="S55" s="115">
        <f>H55</f>
        <v>0</v>
      </c>
      <c r="T55" s="119" t="str">
        <f>I55</f>
        <v>台</v>
      </c>
      <c r="U55" s="117">
        <f t="shared" si="7"/>
        <v>337500</v>
      </c>
      <c r="V55" s="118">
        <f>ROUNDDOWN(S55*U55,0)</f>
        <v>0</v>
      </c>
      <c r="W55" s="119">
        <f>L55</f>
        <v>0</v>
      </c>
    </row>
    <row r="56" spans="2:23" s="123" customFormat="1" x14ac:dyDescent="0.4">
      <c r="B56" s="112"/>
      <c r="C56" s="114"/>
      <c r="D56" s="114"/>
      <c r="E56" s="114" t="s">
        <v>79</v>
      </c>
      <c r="F56" s="114"/>
      <c r="G56" s="120"/>
      <c r="H56" s="115">
        <v>0</v>
      </c>
      <c r="I56" s="116" t="s">
        <v>77</v>
      </c>
      <c r="J56" s="117">
        <f>ROUNDDOWN($G$1*180000,0)</f>
        <v>162000</v>
      </c>
      <c r="K56" s="118">
        <f t="shared" si="8"/>
        <v>0</v>
      </c>
      <c r="L56" s="114"/>
      <c r="M56" s="119">
        <f>B56</f>
        <v>0</v>
      </c>
      <c r="N56" s="67">
        <f t="shared" si="32"/>
        <v>0</v>
      </c>
      <c r="O56" s="119"/>
      <c r="P56" s="119" t="str">
        <f>E56</f>
        <v>・ガス給湯器16号</v>
      </c>
      <c r="Q56" s="119"/>
      <c r="R56" s="119"/>
      <c r="S56" s="115">
        <f>H56</f>
        <v>0</v>
      </c>
      <c r="T56" s="119" t="str">
        <f>I56</f>
        <v>台</v>
      </c>
      <c r="U56" s="117">
        <f t="shared" si="7"/>
        <v>243000</v>
      </c>
      <c r="V56" s="118">
        <f>ROUNDDOWN(S56*U56,0)</f>
        <v>0</v>
      </c>
      <c r="W56" s="119">
        <f>L56</f>
        <v>0</v>
      </c>
    </row>
    <row r="57" spans="2:23" s="123" customFormat="1" x14ac:dyDescent="0.4">
      <c r="B57" s="112"/>
      <c r="C57" s="114"/>
      <c r="D57" s="113"/>
      <c r="E57" s="114" t="s">
        <v>86</v>
      </c>
      <c r="F57" s="113"/>
      <c r="G57" s="114"/>
      <c r="H57" s="115">
        <v>0</v>
      </c>
      <c r="I57" s="116" t="s">
        <v>77</v>
      </c>
      <c r="J57" s="117">
        <f>ROUNDDOWN($G$1*35000,0)</f>
        <v>31500</v>
      </c>
      <c r="K57" s="118">
        <f t="shared" si="8"/>
        <v>0</v>
      </c>
      <c r="L57" s="114"/>
      <c r="M57" s="119">
        <f t="shared" ref="M57:M58" si="33">B57</f>
        <v>0</v>
      </c>
      <c r="N57" s="67">
        <f t="shared" si="32"/>
        <v>0</v>
      </c>
      <c r="O57" s="119"/>
      <c r="P57" s="119" t="str">
        <f t="shared" ref="P57:P58" si="34">E57</f>
        <v>・スマートキー</v>
      </c>
      <c r="Q57" s="119"/>
      <c r="R57" s="119"/>
      <c r="S57" s="115">
        <f t="shared" ref="S57:T58" si="35">H57</f>
        <v>0</v>
      </c>
      <c r="T57" s="119" t="str">
        <f t="shared" si="35"/>
        <v>台</v>
      </c>
      <c r="U57" s="117">
        <f t="shared" si="7"/>
        <v>47250</v>
      </c>
      <c r="V57" s="118">
        <f t="shared" ref="V57:V58" si="36">ROUNDDOWN(S57*U57,0)</f>
        <v>0</v>
      </c>
      <c r="W57" s="119">
        <f t="shared" ref="W57:W58" si="37">L57</f>
        <v>0</v>
      </c>
    </row>
    <row r="58" spans="2:23" s="123" customFormat="1" x14ac:dyDescent="0.4">
      <c r="B58" s="112"/>
      <c r="C58" s="114"/>
      <c r="D58" s="113"/>
      <c r="E58" s="114" t="s">
        <v>87</v>
      </c>
      <c r="F58" s="113"/>
      <c r="G58" s="114"/>
      <c r="H58" s="115">
        <v>0</v>
      </c>
      <c r="I58" s="116" t="s">
        <v>88</v>
      </c>
      <c r="J58" s="117">
        <f t="shared" ref="J58:J75" si="38">ROUNDDOWN($G$1*0,0)</f>
        <v>0</v>
      </c>
      <c r="K58" s="118">
        <f t="shared" si="8"/>
        <v>0</v>
      </c>
      <c r="L58" s="114"/>
      <c r="M58" s="119">
        <f t="shared" si="33"/>
        <v>0</v>
      </c>
      <c r="N58" s="67">
        <f t="shared" si="32"/>
        <v>0</v>
      </c>
      <c r="O58" s="119"/>
      <c r="P58" s="119" t="str">
        <f t="shared" si="34"/>
        <v>・ハンガーパイプ（取付金物共）</v>
      </c>
      <c r="Q58" s="119"/>
      <c r="R58" s="119"/>
      <c r="S58" s="115">
        <f t="shared" si="35"/>
        <v>0</v>
      </c>
      <c r="T58" s="119" t="str">
        <f t="shared" si="35"/>
        <v>ｾｯﾄ</v>
      </c>
      <c r="U58" s="117">
        <f t="shared" si="7"/>
        <v>0</v>
      </c>
      <c r="V58" s="118">
        <f t="shared" si="36"/>
        <v>0</v>
      </c>
      <c r="W58" s="119">
        <f t="shared" si="37"/>
        <v>0</v>
      </c>
    </row>
    <row r="59" spans="2:23" s="123" customFormat="1" x14ac:dyDescent="0.4">
      <c r="B59" s="112"/>
      <c r="C59" s="114"/>
      <c r="D59" s="114"/>
      <c r="E59" s="114" t="s">
        <v>89</v>
      </c>
      <c r="F59" s="114"/>
      <c r="G59" s="120"/>
      <c r="H59" s="115">
        <v>0</v>
      </c>
      <c r="I59" s="116" t="s">
        <v>88</v>
      </c>
      <c r="J59" s="117">
        <f t="shared" si="38"/>
        <v>0</v>
      </c>
      <c r="K59" s="118">
        <f>ROUNDDOWN(H59*J59,0)</f>
        <v>0</v>
      </c>
      <c r="L59" s="114"/>
      <c r="M59" s="119">
        <f>B59</f>
        <v>0</v>
      </c>
      <c r="N59" s="67">
        <f t="shared" si="32"/>
        <v>0</v>
      </c>
      <c r="O59" s="119"/>
      <c r="P59" s="119" t="str">
        <f>E59</f>
        <v>・洋服掛け15×15</v>
      </c>
      <c r="Q59" s="119"/>
      <c r="R59" s="119"/>
      <c r="S59" s="115">
        <f>H59</f>
        <v>0</v>
      </c>
      <c r="T59" s="119" t="str">
        <f>I59</f>
        <v>ｾｯﾄ</v>
      </c>
      <c r="U59" s="117">
        <f t="shared" si="7"/>
        <v>0</v>
      </c>
      <c r="V59" s="118">
        <f>ROUNDDOWN(S59*U59,0)</f>
        <v>0</v>
      </c>
      <c r="W59" s="119">
        <f>L59</f>
        <v>0</v>
      </c>
    </row>
    <row r="60" spans="2:23" s="127" customFormat="1" x14ac:dyDescent="0.4">
      <c r="B60" s="124"/>
      <c r="C60" s="116"/>
      <c r="D60" s="125"/>
      <c r="E60" s="116" t="s">
        <v>90</v>
      </c>
      <c r="F60" s="125"/>
      <c r="G60" s="116"/>
      <c r="H60" s="115">
        <v>0</v>
      </c>
      <c r="I60" s="116" t="s">
        <v>77</v>
      </c>
      <c r="J60" s="117">
        <v>46150</v>
      </c>
      <c r="K60" s="117">
        <f t="shared" ref="K60" si="39">ROUNDDOWN(H60*J60,0)</f>
        <v>0</v>
      </c>
      <c r="L60" s="116" t="s">
        <v>91</v>
      </c>
      <c r="M60" s="126">
        <f t="shared" ref="M60" si="40">B60</f>
        <v>0</v>
      </c>
      <c r="N60" s="67">
        <f t="shared" si="32"/>
        <v>0</v>
      </c>
      <c r="O60" s="126"/>
      <c r="P60" s="126" t="str">
        <f t="shared" ref="P60" si="41">E60</f>
        <v>・洗面器KB-PR012-03-G141</v>
      </c>
      <c r="Q60" s="126"/>
      <c r="R60" s="126"/>
      <c r="S60" s="115">
        <f t="shared" ref="S60:T60" si="42">H60</f>
        <v>0</v>
      </c>
      <c r="T60" s="126" t="str">
        <f t="shared" si="42"/>
        <v>台</v>
      </c>
      <c r="U60" s="117">
        <f t="shared" si="7"/>
        <v>69225</v>
      </c>
      <c r="V60" s="117">
        <f t="shared" ref="V60" si="43">ROUNDDOWN(S60*U60,0)</f>
        <v>0</v>
      </c>
      <c r="W60" s="126" t="str">
        <f t="shared" ref="W60" si="44">L60</f>
        <v>toolbox</v>
      </c>
    </row>
    <row r="61" spans="2:23" s="122" customFormat="1" x14ac:dyDescent="0.4">
      <c r="B61" s="112"/>
      <c r="C61" s="114"/>
      <c r="D61" s="114"/>
      <c r="E61" s="114" t="s">
        <v>92</v>
      </c>
      <c r="F61" s="114"/>
      <c r="G61" s="120"/>
      <c r="H61" s="115">
        <v>0</v>
      </c>
      <c r="I61" s="116" t="s">
        <v>77</v>
      </c>
      <c r="J61" s="117">
        <v>60000</v>
      </c>
      <c r="K61" s="118">
        <f>ROUNDDOWN(H61*J61,0)</f>
        <v>0</v>
      </c>
      <c r="L61" s="114" t="s">
        <v>91</v>
      </c>
      <c r="M61" s="119">
        <f>B61</f>
        <v>0</v>
      </c>
      <c r="N61" s="67">
        <f t="shared" si="32"/>
        <v>0</v>
      </c>
      <c r="O61" s="119"/>
      <c r="P61" s="119" t="str">
        <f>E61</f>
        <v>・混合水栓KB-TP006-01-G141</v>
      </c>
      <c r="Q61" s="119"/>
      <c r="R61" s="119"/>
      <c r="S61" s="115">
        <f>H61</f>
        <v>0</v>
      </c>
      <c r="T61" s="119" t="str">
        <f>I61</f>
        <v>台</v>
      </c>
      <c r="U61" s="117">
        <f t="shared" si="7"/>
        <v>90000</v>
      </c>
      <c r="V61" s="118">
        <f>ROUNDDOWN(S61*U61,0)</f>
        <v>0</v>
      </c>
      <c r="W61" s="119" t="str">
        <f>L61</f>
        <v>toolbox</v>
      </c>
    </row>
    <row r="62" spans="2:23" x14ac:dyDescent="0.4">
      <c r="B62" s="112"/>
      <c r="C62" s="114"/>
      <c r="D62" s="114"/>
      <c r="E62" s="114" t="s">
        <v>93</v>
      </c>
      <c r="F62" s="114"/>
      <c r="G62" s="120"/>
      <c r="H62" s="115">
        <v>0</v>
      </c>
      <c r="I62" s="116" t="s">
        <v>77</v>
      </c>
      <c r="J62" s="117">
        <f>ROUNDDOWN($G$1*80000,0)</f>
        <v>72000</v>
      </c>
      <c r="K62" s="118">
        <f>ROUNDDOWN(H62*J62,0)</f>
        <v>0</v>
      </c>
      <c r="L62" s="121">
        <f>SUM(K52:K62)</f>
        <v>0</v>
      </c>
      <c r="M62" s="119">
        <f>B62</f>
        <v>0</v>
      </c>
      <c r="N62" s="67">
        <f t="shared" si="32"/>
        <v>0</v>
      </c>
      <c r="O62" s="119"/>
      <c r="P62" s="119" t="str">
        <f>E62</f>
        <v>・折り畳み式ベット1200×2000</v>
      </c>
      <c r="Q62" s="119"/>
      <c r="R62" s="119"/>
      <c r="S62" s="115">
        <f>H62</f>
        <v>0</v>
      </c>
      <c r="T62" s="119" t="str">
        <f>I62</f>
        <v>台</v>
      </c>
      <c r="U62" s="117">
        <f t="shared" si="7"/>
        <v>108000</v>
      </c>
      <c r="V62" s="118">
        <f>ROUNDDOWN(S62*U62,0)</f>
        <v>0</v>
      </c>
      <c r="W62" s="119">
        <f>L62</f>
        <v>0</v>
      </c>
    </row>
    <row r="63" spans="2:23" x14ac:dyDescent="0.4">
      <c r="B63" s="112" t="s">
        <v>119</v>
      </c>
      <c r="C63" s="112" t="s">
        <v>148</v>
      </c>
      <c r="D63" s="114"/>
      <c r="E63" s="114" t="s">
        <v>95</v>
      </c>
      <c r="F63" s="114"/>
      <c r="G63" s="120"/>
      <c r="H63" s="115">
        <f>ROUNDUP(5*1.5,2)</f>
        <v>7.5</v>
      </c>
      <c r="I63" s="116" t="s">
        <v>94</v>
      </c>
      <c r="J63" s="117">
        <f>ROUNDDOWN(30000,0)</f>
        <v>30000</v>
      </c>
      <c r="K63" s="118">
        <f>ROUNDDOWN(H63*J63,0)</f>
        <v>225000</v>
      </c>
      <c r="L63" s="121">
        <f>SUM(K63:K63)</f>
        <v>225000</v>
      </c>
      <c r="M63" s="119" t="str">
        <f>B63</f>
        <v>ｵﾌﾟｼｮﾝ</v>
      </c>
      <c r="N63" s="67" t="str">
        <f t="shared" si="32"/>
        <v>３．造作工事</v>
      </c>
      <c r="O63" s="119"/>
      <c r="P63" s="119" t="str">
        <f>E63</f>
        <v>・室内造作（建具取付まで）</v>
      </c>
      <c r="Q63" s="119"/>
      <c r="R63" s="119"/>
      <c r="S63" s="115">
        <f>H63</f>
        <v>7.5</v>
      </c>
      <c r="T63" s="119" t="str">
        <f>I63</f>
        <v>人</v>
      </c>
      <c r="U63" s="117">
        <f>ROUNDDOWN(25000,0)</f>
        <v>25000</v>
      </c>
      <c r="V63" s="118">
        <f>ROUNDDOWN(S63*U63,0)</f>
        <v>187500</v>
      </c>
      <c r="W63" s="119">
        <f>L63</f>
        <v>225000</v>
      </c>
    </row>
    <row r="64" spans="2:23" x14ac:dyDescent="0.4">
      <c r="B64" s="60"/>
      <c r="C64" s="60" t="s">
        <v>147</v>
      </c>
      <c r="D64" s="62"/>
      <c r="E64" s="62"/>
      <c r="F64" s="62"/>
      <c r="G64" s="61"/>
      <c r="H64" s="63">
        <v>1</v>
      </c>
      <c r="I64" s="64" t="s">
        <v>85</v>
      </c>
      <c r="J64" s="65">
        <f t="shared" si="38"/>
        <v>0</v>
      </c>
      <c r="K64" s="66">
        <f t="shared" ref="K64" si="45">ROUNDDOWN(H64*J64,0)</f>
        <v>0</v>
      </c>
      <c r="L64" s="61"/>
      <c r="M64" s="67">
        <f t="shared" ref="M64:N75" si="46">B64</f>
        <v>0</v>
      </c>
      <c r="N64" s="67" t="str">
        <f t="shared" si="32"/>
        <v>４．各種養生（床養生マット、壁ビニールシート等）</v>
      </c>
      <c r="O64" s="67"/>
      <c r="P64" s="62"/>
      <c r="Q64" s="62"/>
      <c r="R64" s="61"/>
      <c r="S64" s="63">
        <f t="shared" ref="S64:T68" si="47">H64</f>
        <v>1</v>
      </c>
      <c r="T64" s="67" t="str">
        <f t="shared" si="47"/>
        <v>式</v>
      </c>
      <c r="U64" s="65">
        <f t="shared" ref="U64" si="48">ROUNDDOWN(J64*$K$1,0)</f>
        <v>0</v>
      </c>
      <c r="V64" s="66">
        <f t="shared" ref="V64" si="49">ROUNDDOWN(S64*U64,0)</f>
        <v>0</v>
      </c>
      <c r="W64" s="67">
        <f t="shared" ref="W64:W68" si="50">L64</f>
        <v>0</v>
      </c>
    </row>
    <row r="65" spans="2:23" x14ac:dyDescent="0.4">
      <c r="B65" s="141" t="s">
        <v>119</v>
      </c>
      <c r="C65" s="141" t="s">
        <v>124</v>
      </c>
      <c r="D65" s="143"/>
      <c r="E65" s="143"/>
      <c r="F65" s="143"/>
      <c r="G65" s="142"/>
      <c r="H65" s="144">
        <v>1</v>
      </c>
      <c r="I65" s="145" t="s">
        <v>85</v>
      </c>
      <c r="J65" s="146"/>
      <c r="K65" s="147">
        <f>ROUNDDOWN(SUM(K48:K64)*$J$1,0)</f>
        <v>79866</v>
      </c>
      <c r="L65" s="142"/>
      <c r="M65" s="141" t="str">
        <f t="shared" si="46"/>
        <v>ｵﾌﾟｼｮﾝ</v>
      </c>
      <c r="N65" s="148"/>
      <c r="O65" s="148"/>
      <c r="P65" s="143"/>
      <c r="Q65" s="143"/>
      <c r="R65" s="142"/>
      <c r="S65" s="144">
        <f t="shared" si="47"/>
        <v>1</v>
      </c>
      <c r="T65" s="141" t="str">
        <f t="shared" si="47"/>
        <v>式</v>
      </c>
      <c r="U65" s="146"/>
      <c r="V65" s="147">
        <f>ROUNDDOWN(SUM(V48:V64)*$J$1,0)</f>
        <v>97300</v>
      </c>
      <c r="W65" s="148">
        <f t="shared" si="50"/>
        <v>0</v>
      </c>
    </row>
    <row r="66" spans="2:23" s="122" customFormat="1" x14ac:dyDescent="0.4">
      <c r="B66" s="128" t="s">
        <v>136</v>
      </c>
      <c r="C66" s="129"/>
      <c r="D66" s="129"/>
      <c r="E66" s="129"/>
      <c r="F66" s="129"/>
      <c r="G66" s="130"/>
      <c r="H66" s="131"/>
      <c r="I66" s="132"/>
      <c r="J66" s="133"/>
      <c r="K66" s="134">
        <f>SUM(K48:K65)</f>
        <v>612311</v>
      </c>
      <c r="L66" s="129" t="s">
        <v>71</v>
      </c>
      <c r="M66" s="135" t="str">
        <f t="shared" si="46"/>
        <v>【オプション価格計】</v>
      </c>
      <c r="N66" s="135"/>
      <c r="O66" s="135"/>
      <c r="P66" s="135">
        <f t="shared" ref="P66" si="51">E66</f>
        <v>0</v>
      </c>
      <c r="Q66" s="135"/>
      <c r="R66" s="135"/>
      <c r="S66" s="131">
        <f t="shared" si="47"/>
        <v>0</v>
      </c>
      <c r="T66" s="135">
        <f t="shared" si="47"/>
        <v>0</v>
      </c>
      <c r="U66" s="133">
        <f t="shared" ref="U66:U68" si="52">ROUNDDOWN(J66*$K$1,0)</f>
        <v>0</v>
      </c>
      <c r="V66" s="134">
        <f>SUM(V48:V65)</f>
        <v>745968</v>
      </c>
      <c r="W66" s="135" t="str">
        <f t="shared" si="50"/>
        <v>クリア塗装品</v>
      </c>
    </row>
    <row r="67" spans="2:23" x14ac:dyDescent="0.4">
      <c r="B67" s="60" t="s">
        <v>125</v>
      </c>
      <c r="C67" s="60" t="s">
        <v>126</v>
      </c>
      <c r="D67" s="62"/>
      <c r="E67" s="62"/>
      <c r="F67" s="62"/>
      <c r="G67" s="61"/>
      <c r="H67" s="63">
        <v>1</v>
      </c>
      <c r="I67" s="64" t="s">
        <v>85</v>
      </c>
      <c r="J67" s="65">
        <v>0</v>
      </c>
      <c r="K67" s="66">
        <f t="shared" ref="K67:K68" si="53">ROUNDDOWN(H67*J67,0)</f>
        <v>0</v>
      </c>
      <c r="L67" s="61"/>
      <c r="M67" s="60" t="str">
        <f t="shared" si="46"/>
        <v>別途</v>
      </c>
      <c r="N67" s="67" t="str">
        <f t="shared" si="46"/>
        <v>１．運送費</v>
      </c>
      <c r="O67" s="67"/>
      <c r="P67" s="62"/>
      <c r="Q67" s="62"/>
      <c r="R67" s="61"/>
      <c r="S67" s="63">
        <f t="shared" si="47"/>
        <v>1</v>
      </c>
      <c r="T67" s="60" t="str">
        <f t="shared" si="47"/>
        <v>式</v>
      </c>
      <c r="U67" s="65">
        <f t="shared" si="52"/>
        <v>0</v>
      </c>
      <c r="V67" s="66">
        <f t="shared" ref="V67:V69" si="54">ROUNDDOWN(S67*U67,0)</f>
        <v>0</v>
      </c>
      <c r="W67" s="67">
        <f t="shared" si="50"/>
        <v>0</v>
      </c>
    </row>
    <row r="68" spans="2:23" x14ac:dyDescent="0.4">
      <c r="B68" s="60"/>
      <c r="C68" s="60" t="s">
        <v>129</v>
      </c>
      <c r="D68" s="62"/>
      <c r="E68" s="62"/>
      <c r="F68" s="62"/>
      <c r="G68" s="61"/>
      <c r="H68" s="63">
        <v>1</v>
      </c>
      <c r="I68" s="64" t="s">
        <v>85</v>
      </c>
      <c r="J68" s="65">
        <v>0</v>
      </c>
      <c r="K68" s="66">
        <f t="shared" si="53"/>
        <v>0</v>
      </c>
      <c r="L68" s="61"/>
      <c r="M68" s="60">
        <f t="shared" si="46"/>
        <v>0</v>
      </c>
      <c r="N68" s="67" t="str">
        <f t="shared" si="46"/>
        <v>２．設計監理及び確認申請費</v>
      </c>
      <c r="O68" s="67"/>
      <c r="P68" s="62"/>
      <c r="Q68" s="62"/>
      <c r="R68" s="61"/>
      <c r="S68" s="63">
        <f t="shared" si="47"/>
        <v>1</v>
      </c>
      <c r="T68" s="60" t="str">
        <f t="shared" si="47"/>
        <v>式</v>
      </c>
      <c r="U68" s="65">
        <f t="shared" si="52"/>
        <v>0</v>
      </c>
      <c r="V68" s="66">
        <f t="shared" si="54"/>
        <v>0</v>
      </c>
      <c r="W68" s="67">
        <f t="shared" si="50"/>
        <v>0</v>
      </c>
    </row>
    <row r="69" spans="2:23" x14ac:dyDescent="0.4">
      <c r="B69" s="60"/>
      <c r="C69" s="60" t="s">
        <v>127</v>
      </c>
      <c r="D69" s="62"/>
      <c r="E69" s="62"/>
      <c r="F69" s="62"/>
      <c r="G69" s="61"/>
      <c r="H69" s="63">
        <v>1</v>
      </c>
      <c r="I69" s="64" t="s">
        <v>85</v>
      </c>
      <c r="J69" s="65">
        <f t="shared" si="38"/>
        <v>0</v>
      </c>
      <c r="K69" s="66">
        <f>ROUNDDOWN(H69*J69,0)</f>
        <v>0</v>
      </c>
      <c r="L69" s="61"/>
      <c r="M69" s="67">
        <f>B69</f>
        <v>0</v>
      </c>
      <c r="N69" s="67" t="str">
        <f t="shared" si="46"/>
        <v>３．梱包養生</v>
      </c>
      <c r="O69" s="67"/>
      <c r="P69" s="62"/>
      <c r="Q69" s="62"/>
      <c r="R69" s="61"/>
      <c r="S69" s="63">
        <f>H69</f>
        <v>1</v>
      </c>
      <c r="T69" s="67" t="str">
        <f>I69</f>
        <v>式</v>
      </c>
      <c r="U69" s="65">
        <f>ROUNDDOWN(J69*$K$1,0)</f>
        <v>0</v>
      </c>
      <c r="V69" s="66">
        <f>ROUNDDOWN(S69*U69,0)</f>
        <v>0</v>
      </c>
      <c r="W69" s="67">
        <f>L69</f>
        <v>0</v>
      </c>
    </row>
    <row r="70" spans="2:23" x14ac:dyDescent="0.4">
      <c r="B70" s="60"/>
      <c r="C70" s="60" t="s">
        <v>130</v>
      </c>
      <c r="D70" s="62"/>
      <c r="E70" s="62"/>
      <c r="F70" s="62"/>
      <c r="G70" s="61"/>
      <c r="H70" s="63">
        <v>1</v>
      </c>
      <c r="I70" s="64" t="s">
        <v>85</v>
      </c>
      <c r="J70" s="65">
        <f t="shared" si="38"/>
        <v>0</v>
      </c>
      <c r="K70" s="66">
        <f>ROUNDDOWN(H70*J70,0)</f>
        <v>0</v>
      </c>
      <c r="L70" s="61"/>
      <c r="M70" s="67">
        <f>B70</f>
        <v>0</v>
      </c>
      <c r="N70" s="67" t="str">
        <f t="shared" si="46"/>
        <v>４．現場設置工事</v>
      </c>
      <c r="O70" s="67"/>
      <c r="P70" s="62"/>
      <c r="Q70" s="62"/>
      <c r="R70" s="61"/>
      <c r="S70" s="63">
        <f>H70</f>
        <v>1</v>
      </c>
      <c r="T70" s="67" t="str">
        <f>I70</f>
        <v>式</v>
      </c>
      <c r="U70" s="65">
        <f>ROUNDDOWN(J70*$K$1,0)</f>
        <v>0</v>
      </c>
      <c r="V70" s="66">
        <f>ROUNDDOWN(S70*U70,0)</f>
        <v>0</v>
      </c>
      <c r="W70" s="67">
        <f>L70</f>
        <v>0</v>
      </c>
    </row>
    <row r="71" spans="2:23" x14ac:dyDescent="0.4">
      <c r="B71" s="60"/>
      <c r="C71" s="60" t="s">
        <v>131</v>
      </c>
      <c r="D71" s="62"/>
      <c r="E71" s="62" t="s">
        <v>96</v>
      </c>
      <c r="F71" s="62"/>
      <c r="G71" s="61"/>
      <c r="H71" s="63">
        <f>ROUNDUP(1,2)</f>
        <v>1</v>
      </c>
      <c r="I71" s="64" t="s">
        <v>85</v>
      </c>
      <c r="J71" s="65">
        <f>ROUNDDOWN($G$1*0,0)</f>
        <v>0</v>
      </c>
      <c r="K71" s="66">
        <f t="shared" si="0"/>
        <v>0</v>
      </c>
      <c r="L71" s="61" t="s">
        <v>122</v>
      </c>
      <c r="M71" s="67">
        <f t="shared" si="1"/>
        <v>0</v>
      </c>
      <c r="N71" s="67" t="str">
        <f t="shared" si="46"/>
        <v>５．電気設備工事</v>
      </c>
      <c r="O71" s="67"/>
      <c r="P71" s="67" t="str">
        <f t="shared" si="2"/>
        <v>・照明器具含む</v>
      </c>
      <c r="Q71" s="67"/>
      <c r="R71" s="67"/>
      <c r="S71" s="63">
        <f t="shared" si="3"/>
        <v>1</v>
      </c>
      <c r="T71" s="67" t="str">
        <f t="shared" si="3"/>
        <v>式</v>
      </c>
      <c r="U71" s="65">
        <f t="shared" si="4"/>
        <v>0</v>
      </c>
      <c r="V71" s="66">
        <f t="shared" si="5"/>
        <v>0</v>
      </c>
      <c r="W71" s="67" t="str">
        <f t="shared" si="6"/>
        <v>別途工事</v>
      </c>
    </row>
    <row r="72" spans="2:23" x14ac:dyDescent="0.4">
      <c r="B72" s="60"/>
      <c r="C72" s="60" t="s">
        <v>128</v>
      </c>
      <c r="D72" s="62"/>
      <c r="E72" s="62" t="s">
        <v>97</v>
      </c>
      <c r="F72" s="62"/>
      <c r="G72" s="61"/>
      <c r="H72" s="63">
        <f>ROUNDUP(1,2)</f>
        <v>1</v>
      </c>
      <c r="I72" s="64" t="s">
        <v>85</v>
      </c>
      <c r="J72" s="65">
        <f t="shared" si="38"/>
        <v>0</v>
      </c>
      <c r="K72" s="66">
        <f t="shared" si="0"/>
        <v>0</v>
      </c>
      <c r="L72" s="61"/>
      <c r="M72" s="67">
        <f t="shared" si="1"/>
        <v>0</v>
      </c>
      <c r="N72" s="67" t="str">
        <f t="shared" si="46"/>
        <v>６．給排水給湯設備工事</v>
      </c>
      <c r="O72" s="67"/>
      <c r="P72" s="67" t="str">
        <f t="shared" si="2"/>
        <v>・敷地状況によって別途見積</v>
      </c>
      <c r="Q72" s="67"/>
      <c r="R72" s="67"/>
      <c r="S72" s="63">
        <f t="shared" si="3"/>
        <v>1</v>
      </c>
      <c r="T72" s="67" t="str">
        <f t="shared" si="3"/>
        <v>式</v>
      </c>
      <c r="U72" s="65">
        <f t="shared" si="4"/>
        <v>0</v>
      </c>
      <c r="V72" s="66">
        <f t="shared" si="5"/>
        <v>0</v>
      </c>
      <c r="W72" s="67">
        <f t="shared" si="6"/>
        <v>0</v>
      </c>
    </row>
    <row r="73" spans="2:23" x14ac:dyDescent="0.4">
      <c r="B73" s="60"/>
      <c r="C73" s="60" t="s">
        <v>132</v>
      </c>
      <c r="D73" s="62"/>
      <c r="E73" s="62"/>
      <c r="F73" s="62"/>
      <c r="G73" s="61"/>
      <c r="H73" s="63">
        <f>ROUNDUP(1,2)</f>
        <v>1</v>
      </c>
      <c r="I73" s="64" t="s">
        <v>85</v>
      </c>
      <c r="J73" s="65">
        <f t="shared" si="38"/>
        <v>0</v>
      </c>
      <c r="K73" s="66">
        <f t="shared" si="0"/>
        <v>0</v>
      </c>
      <c r="L73" s="61"/>
      <c r="M73" s="67">
        <f t="shared" si="1"/>
        <v>0</v>
      </c>
      <c r="N73" s="67" t="str">
        <f t="shared" si="46"/>
        <v>７．基礎工事（設置後工事）</v>
      </c>
      <c r="O73" s="67"/>
      <c r="P73" s="67">
        <f t="shared" si="2"/>
        <v>0</v>
      </c>
      <c r="Q73" s="67"/>
      <c r="R73" s="67"/>
      <c r="S73" s="63">
        <f t="shared" si="3"/>
        <v>1</v>
      </c>
      <c r="T73" s="67" t="str">
        <f t="shared" si="3"/>
        <v>式</v>
      </c>
      <c r="U73" s="65">
        <f t="shared" si="4"/>
        <v>0</v>
      </c>
      <c r="V73" s="66">
        <f t="shared" si="5"/>
        <v>0</v>
      </c>
      <c r="W73" s="67">
        <f t="shared" si="6"/>
        <v>0</v>
      </c>
    </row>
    <row r="74" spans="2:23" x14ac:dyDescent="0.4">
      <c r="B74" s="60"/>
      <c r="C74" s="60" t="s">
        <v>149</v>
      </c>
      <c r="D74" s="62"/>
      <c r="E74" s="62"/>
      <c r="F74" s="62"/>
      <c r="G74" s="61"/>
      <c r="H74" s="63">
        <f>ROUNDUP(1,2)</f>
        <v>1</v>
      </c>
      <c r="I74" s="64" t="s">
        <v>85</v>
      </c>
      <c r="J74" s="65">
        <f t="shared" si="38"/>
        <v>0</v>
      </c>
      <c r="K74" s="66">
        <f>H74*J74</f>
        <v>0</v>
      </c>
      <c r="L74" s="61" t="s">
        <v>99</v>
      </c>
      <c r="M74" s="60">
        <f t="shared" si="1"/>
        <v>0</v>
      </c>
      <c r="N74" s="67" t="str">
        <f t="shared" si="46"/>
        <v>８．廃材処分費（家庭用ごみは別途料金が発生します）</v>
      </c>
      <c r="O74" s="67"/>
      <c r="P74" s="62"/>
      <c r="Q74" s="62"/>
      <c r="R74" s="61"/>
      <c r="S74" s="63">
        <f t="shared" si="3"/>
        <v>1</v>
      </c>
      <c r="T74" s="60" t="str">
        <f t="shared" si="3"/>
        <v>式</v>
      </c>
      <c r="U74" s="65">
        <f t="shared" si="4"/>
        <v>0</v>
      </c>
      <c r="V74" s="66">
        <f>S74*U74</f>
        <v>0</v>
      </c>
      <c r="W74" s="67" t="str">
        <f t="shared" si="6"/>
        <v>トン袋のみ</v>
      </c>
    </row>
    <row r="75" spans="2:23" x14ac:dyDescent="0.4">
      <c r="B75" s="60"/>
      <c r="C75" s="60" t="s">
        <v>134</v>
      </c>
      <c r="D75" s="62"/>
      <c r="E75" s="62"/>
      <c r="F75" s="62"/>
      <c r="G75" s="61"/>
      <c r="H75" s="63">
        <v>1</v>
      </c>
      <c r="I75" s="64" t="s">
        <v>85</v>
      </c>
      <c r="J75" s="65">
        <f t="shared" si="38"/>
        <v>0</v>
      </c>
      <c r="K75" s="66">
        <f>ROUNDDOWN(SUM(K67:K74)*$J$1,0)</f>
        <v>0</v>
      </c>
      <c r="L75" s="61"/>
      <c r="M75" s="60">
        <f t="shared" si="1"/>
        <v>0</v>
      </c>
      <c r="N75" s="67" t="str">
        <f t="shared" si="46"/>
        <v>９．別途現場諸費用（交通費、労災、安全管理費等）</v>
      </c>
      <c r="O75" s="67"/>
      <c r="P75" s="62"/>
      <c r="Q75" s="62"/>
      <c r="R75" s="61"/>
      <c r="S75" s="63">
        <f t="shared" si="3"/>
        <v>1</v>
      </c>
      <c r="T75" s="60" t="str">
        <f t="shared" si="3"/>
        <v>式</v>
      </c>
      <c r="U75" s="65"/>
      <c r="V75" s="66">
        <f>S75*U75</f>
        <v>0</v>
      </c>
      <c r="W75" s="67">
        <f t="shared" si="6"/>
        <v>0</v>
      </c>
    </row>
    <row r="76" spans="2:23" s="122" customFormat="1" x14ac:dyDescent="0.4">
      <c r="B76" s="149" t="s">
        <v>135</v>
      </c>
      <c r="C76" s="150"/>
      <c r="D76" s="150"/>
      <c r="E76" s="150"/>
      <c r="F76" s="150"/>
      <c r="G76" s="151"/>
      <c r="H76" s="152"/>
      <c r="I76" s="153"/>
      <c r="J76" s="154"/>
      <c r="K76" s="155">
        <f>SUM(K67:K75)</f>
        <v>0</v>
      </c>
      <c r="L76" s="150" t="s">
        <v>71</v>
      </c>
      <c r="M76" s="156" t="str">
        <f t="shared" si="1"/>
        <v>【別途工事計】</v>
      </c>
      <c r="N76" s="156"/>
      <c r="O76" s="156"/>
      <c r="P76" s="156">
        <f t="shared" ref="P76" si="55">E76</f>
        <v>0</v>
      </c>
      <c r="Q76" s="156"/>
      <c r="R76" s="156"/>
      <c r="S76" s="152">
        <f t="shared" ref="S76:T76" si="56">H76</f>
        <v>0</v>
      </c>
      <c r="T76" s="156">
        <f t="shared" si="56"/>
        <v>0</v>
      </c>
      <c r="U76" s="154">
        <f t="shared" ref="U76" si="57">ROUNDDOWN(J76*$K$1,0)</f>
        <v>0</v>
      </c>
      <c r="V76" s="155">
        <f>SUM(V67:V75)</f>
        <v>0</v>
      </c>
      <c r="W76" s="156" t="str">
        <f t="shared" si="6"/>
        <v>クリア塗装品</v>
      </c>
    </row>
    <row r="77" spans="2:23" x14ac:dyDescent="0.4">
      <c r="B77" s="98" t="s">
        <v>159</v>
      </c>
      <c r="C77" s="99"/>
      <c r="D77" s="99"/>
      <c r="E77" s="99"/>
      <c r="F77" s="99"/>
      <c r="G77" s="99"/>
      <c r="H77" s="70" t="s">
        <v>100</v>
      </c>
      <c r="I77" s="71"/>
      <c r="J77" s="72"/>
      <c r="K77" s="73">
        <f>SUM(K47,K66,K76)</f>
        <v>1747551</v>
      </c>
      <c r="L77" s="70" t="s">
        <v>101</v>
      </c>
      <c r="M77" s="137"/>
      <c r="N77" s="138"/>
      <c r="O77" s="138"/>
      <c r="P77" s="138"/>
      <c r="Q77" s="138"/>
      <c r="R77" s="138"/>
      <c r="S77" s="70" t="s">
        <v>100</v>
      </c>
      <c r="T77" s="71"/>
      <c r="U77" s="72"/>
      <c r="V77" s="73">
        <f>SUM(V47,V66,V76)</f>
        <v>2448778</v>
      </c>
      <c r="W77" s="70" t="s">
        <v>101</v>
      </c>
    </row>
    <row r="78" spans="2:23" x14ac:dyDescent="0.4">
      <c r="B78" s="98"/>
      <c r="C78" s="99"/>
      <c r="D78" s="99"/>
      <c r="E78" s="99"/>
      <c r="F78" s="99"/>
      <c r="G78" s="99"/>
      <c r="H78" s="74" t="s">
        <v>102</v>
      </c>
      <c r="I78" s="75"/>
      <c r="J78" s="76"/>
      <c r="K78" s="77">
        <v>-551</v>
      </c>
      <c r="L78" s="76">
        <f>SUM(K77:K78)</f>
        <v>1747000</v>
      </c>
      <c r="M78" s="137"/>
      <c r="N78" s="138"/>
      <c r="O78" s="138"/>
      <c r="P78" s="138"/>
      <c r="Q78" s="138"/>
      <c r="R78" s="138"/>
      <c r="S78" s="166" t="s">
        <v>102</v>
      </c>
      <c r="T78" s="167"/>
      <c r="U78" s="168"/>
      <c r="V78" s="169">
        <v>-778</v>
      </c>
      <c r="W78" s="168">
        <f>SUM(V77:V78)</f>
        <v>2448000</v>
      </c>
    </row>
    <row r="79" spans="2:23" x14ac:dyDescent="0.4">
      <c r="B79" s="98"/>
      <c r="C79" s="99"/>
      <c r="D79" s="99"/>
      <c r="E79" s="99"/>
      <c r="F79" s="99"/>
      <c r="G79" s="99"/>
      <c r="H79" s="78" t="s">
        <v>103</v>
      </c>
      <c r="I79" s="79"/>
      <c r="J79" s="79">
        <v>0.1</v>
      </c>
      <c r="K79" s="80">
        <f>ROUNDDOWN(L78*J79,0)</f>
        <v>174700</v>
      </c>
      <c r="L79" s="61"/>
      <c r="M79" s="137"/>
      <c r="N79" s="138"/>
      <c r="O79" s="138"/>
      <c r="P79" s="138"/>
      <c r="Q79" s="138"/>
      <c r="R79" s="138"/>
      <c r="S79" s="78" t="s">
        <v>103</v>
      </c>
      <c r="T79" s="79"/>
      <c r="U79" s="79">
        <v>0.1</v>
      </c>
      <c r="V79" s="80">
        <f>ROUNDDOWN(W78*U79,0)</f>
        <v>244800</v>
      </c>
      <c r="W79" s="61"/>
    </row>
    <row r="80" spans="2:23" x14ac:dyDescent="0.4">
      <c r="B80" s="98"/>
      <c r="C80" s="99"/>
      <c r="D80" s="99"/>
      <c r="E80" s="99"/>
      <c r="F80" s="99"/>
      <c r="G80" s="99"/>
      <c r="H80" s="81" t="s">
        <v>104</v>
      </c>
      <c r="I80" s="82"/>
      <c r="J80" s="83"/>
      <c r="K80" s="84">
        <f>SUM(L78,K79)</f>
        <v>1921700</v>
      </c>
      <c r="L80" s="85"/>
      <c r="M80" s="137"/>
      <c r="N80" s="138"/>
      <c r="O80" s="138"/>
      <c r="P80" s="138"/>
      <c r="Q80" s="138"/>
      <c r="R80" s="138"/>
      <c r="S80" s="161" t="s">
        <v>104</v>
      </c>
      <c r="T80" s="162"/>
      <c r="U80" s="163"/>
      <c r="V80" s="164">
        <f>SUM(W78,V79)</f>
        <v>2692800</v>
      </c>
      <c r="W80" s="165"/>
    </row>
    <row r="81" spans="2:23" ht="18" customHeight="1" x14ac:dyDescent="0.4">
      <c r="B81" s="98"/>
      <c r="C81" s="99"/>
      <c r="D81" s="99"/>
      <c r="E81" s="99"/>
      <c r="F81" s="99"/>
      <c r="G81" s="99"/>
      <c r="H81" s="92"/>
      <c r="I81" s="92"/>
      <c r="J81" s="93"/>
      <c r="K81" s="93"/>
      <c r="L81" s="94"/>
      <c r="M81" s="137"/>
      <c r="N81" s="138"/>
      <c r="O81" s="138"/>
      <c r="P81" s="138"/>
      <c r="Q81" s="138"/>
      <c r="R81" s="138"/>
      <c r="S81" s="136"/>
      <c r="T81" s="136"/>
      <c r="U81" s="97"/>
      <c r="V81" s="93"/>
      <c r="W81" s="94"/>
    </row>
    <row r="82" spans="2:23" ht="18" customHeight="1" x14ac:dyDescent="0.4">
      <c r="B82" s="98"/>
      <c r="C82" s="99"/>
      <c r="D82" s="99"/>
      <c r="E82" s="99"/>
      <c r="F82" s="99"/>
      <c r="G82" s="99"/>
      <c r="H82" s="99"/>
      <c r="I82" s="99"/>
      <c r="J82" s="100"/>
      <c r="K82" s="100"/>
      <c r="L82" s="101"/>
      <c r="M82" s="137"/>
      <c r="N82" s="138"/>
      <c r="O82" s="138"/>
      <c r="P82" s="138"/>
      <c r="Q82" s="138"/>
      <c r="R82" s="138"/>
      <c r="S82" s="138"/>
      <c r="T82" s="138"/>
      <c r="U82" s="104"/>
      <c r="V82" s="100"/>
      <c r="W82" s="101"/>
    </row>
    <row r="83" spans="2:23" ht="18" customHeight="1" x14ac:dyDescent="0.4">
      <c r="B83" s="98"/>
      <c r="C83" s="99"/>
      <c r="D83" s="99"/>
      <c r="E83" s="99"/>
      <c r="F83" s="99"/>
      <c r="G83" s="99"/>
      <c r="H83" s="99"/>
      <c r="I83" s="99"/>
      <c r="J83" s="100"/>
      <c r="K83" s="100"/>
      <c r="L83" s="101"/>
      <c r="M83" s="137"/>
      <c r="N83" s="138"/>
      <c r="O83" s="138"/>
      <c r="P83" s="138"/>
      <c r="Q83" s="138"/>
      <c r="R83" s="138"/>
      <c r="S83" s="138"/>
      <c r="T83" s="138"/>
      <c r="U83" s="104"/>
      <c r="V83" s="100"/>
      <c r="W83" s="101"/>
    </row>
    <row r="84" spans="2:23" ht="18" customHeight="1" x14ac:dyDescent="0.4">
      <c r="B84" s="98"/>
      <c r="C84" s="99"/>
      <c r="D84" s="99"/>
      <c r="E84" s="99"/>
      <c r="F84" s="99"/>
      <c r="G84" s="99"/>
      <c r="H84" s="99"/>
      <c r="I84" s="99"/>
      <c r="J84" s="100"/>
      <c r="K84" s="100"/>
      <c r="L84" s="101"/>
      <c r="M84" s="137"/>
      <c r="N84" s="138"/>
      <c r="O84" s="138"/>
      <c r="P84" s="138"/>
      <c r="Q84" s="138"/>
      <c r="R84" s="138"/>
      <c r="S84" s="138"/>
      <c r="T84" s="138"/>
      <c r="U84" s="104"/>
      <c r="V84" s="100"/>
      <c r="W84" s="101"/>
    </row>
    <row r="85" spans="2:23" ht="18" customHeight="1" x14ac:dyDescent="0.4">
      <c r="B85" s="98"/>
      <c r="C85" s="99"/>
      <c r="D85" s="99"/>
      <c r="E85" s="99"/>
      <c r="F85" s="99"/>
      <c r="G85" s="99"/>
      <c r="H85" s="99"/>
      <c r="I85" s="99"/>
      <c r="J85" s="100"/>
      <c r="K85" s="100"/>
      <c r="L85" s="101"/>
      <c r="M85" s="137"/>
      <c r="N85" s="138"/>
      <c r="O85" s="138"/>
      <c r="P85" s="138"/>
      <c r="Q85" s="138"/>
      <c r="R85" s="138"/>
      <c r="S85" s="138"/>
      <c r="T85" s="138"/>
      <c r="U85" s="104"/>
      <c r="V85" s="100"/>
      <c r="W85" s="101"/>
    </row>
    <row r="86" spans="2:23" ht="18" customHeight="1" x14ac:dyDescent="0.4">
      <c r="B86" s="98"/>
      <c r="C86" s="99"/>
      <c r="D86" s="99"/>
      <c r="E86" s="99"/>
      <c r="F86" s="99"/>
      <c r="G86" s="99"/>
      <c r="H86" s="99"/>
      <c r="I86" s="99"/>
      <c r="J86" s="100"/>
      <c r="K86" s="100"/>
      <c r="L86" s="101"/>
      <c r="M86" s="137"/>
      <c r="N86" s="138"/>
      <c r="O86" s="138"/>
      <c r="P86" s="138"/>
      <c r="Q86" s="138"/>
      <c r="R86" s="138"/>
      <c r="S86" s="138"/>
      <c r="T86" s="138"/>
      <c r="U86" s="104"/>
      <c r="V86" s="100"/>
      <c r="W86" s="101"/>
    </row>
    <row r="87" spans="2:23" ht="18" customHeight="1" x14ac:dyDescent="0.4">
      <c r="B87" s="98"/>
      <c r="C87" s="99"/>
      <c r="D87" s="99"/>
      <c r="E87" s="99"/>
      <c r="F87" s="99"/>
      <c r="G87" s="99"/>
      <c r="H87" s="99"/>
      <c r="I87" s="99"/>
      <c r="J87" s="100"/>
      <c r="K87" s="100"/>
      <c r="L87" s="101"/>
      <c r="M87" s="137"/>
      <c r="N87" s="138"/>
      <c r="O87" s="138"/>
      <c r="P87" s="138"/>
      <c r="Q87" s="138"/>
      <c r="R87" s="138"/>
      <c r="S87" s="138"/>
      <c r="T87" s="138"/>
      <c r="U87" s="104"/>
      <c r="V87" s="100"/>
      <c r="W87" s="101"/>
    </row>
    <row r="88" spans="2:23" ht="18" customHeight="1" x14ac:dyDescent="0.4">
      <c r="B88" s="98"/>
      <c r="C88" s="99"/>
      <c r="D88" s="99"/>
      <c r="E88" s="99"/>
      <c r="F88" s="99"/>
      <c r="G88" s="99"/>
      <c r="H88" s="99"/>
      <c r="I88" s="99"/>
      <c r="J88" s="100"/>
      <c r="K88" s="100"/>
      <c r="L88" s="101"/>
      <c r="M88" s="137"/>
      <c r="N88" s="138"/>
      <c r="O88" s="138"/>
      <c r="P88" s="138"/>
      <c r="Q88" s="138"/>
      <c r="R88" s="138"/>
      <c r="S88" s="138"/>
      <c r="T88" s="138"/>
      <c r="U88" s="104"/>
      <c r="V88" s="100"/>
      <c r="W88" s="101"/>
    </row>
    <row r="89" spans="2:23" ht="18" customHeight="1" x14ac:dyDescent="0.4">
      <c r="B89" s="98"/>
      <c r="C89" s="99"/>
      <c r="D89" s="99"/>
      <c r="E89" s="99"/>
      <c r="F89" s="99"/>
      <c r="G89" s="99"/>
      <c r="H89" s="99"/>
      <c r="I89" s="99"/>
      <c r="J89" s="100"/>
      <c r="K89" s="100"/>
      <c r="L89" s="101"/>
      <c r="M89" s="137"/>
      <c r="N89" s="138"/>
      <c r="O89" s="138"/>
      <c r="P89" s="138"/>
      <c r="Q89" s="138"/>
      <c r="R89" s="138"/>
      <c r="S89" s="138"/>
      <c r="T89" s="138"/>
      <c r="U89" s="104"/>
      <c r="V89" s="100"/>
      <c r="W89" s="101"/>
    </row>
    <row r="90" spans="2:23" ht="18" customHeight="1" x14ac:dyDescent="0.4">
      <c r="B90" s="98"/>
      <c r="C90" s="99"/>
      <c r="D90" s="99"/>
      <c r="E90" s="99"/>
      <c r="F90" s="99"/>
      <c r="G90" s="99"/>
      <c r="H90" s="99"/>
      <c r="I90" s="99"/>
      <c r="J90" s="100"/>
      <c r="K90" s="100"/>
      <c r="L90" s="101"/>
      <c r="M90" s="137"/>
      <c r="N90" s="138"/>
      <c r="O90" s="138"/>
      <c r="P90" s="138"/>
      <c r="Q90" s="138"/>
      <c r="R90" s="138"/>
      <c r="S90" s="138"/>
      <c r="T90" s="138"/>
      <c r="U90" s="104"/>
      <c r="V90" s="100"/>
      <c r="W90" s="101"/>
    </row>
    <row r="91" spans="2:23" ht="18" customHeight="1" x14ac:dyDescent="0.4">
      <c r="B91" s="98"/>
      <c r="C91" s="99"/>
      <c r="D91" s="99"/>
      <c r="E91" s="99"/>
      <c r="F91" s="99"/>
      <c r="G91" s="99"/>
      <c r="H91" s="99"/>
      <c r="I91" s="99"/>
      <c r="J91" s="100"/>
      <c r="K91" s="100"/>
      <c r="L91" s="101"/>
      <c r="M91" s="137"/>
      <c r="N91" s="138"/>
      <c r="O91" s="138"/>
      <c r="P91" s="138"/>
      <c r="Q91" s="138"/>
      <c r="R91" s="138"/>
      <c r="S91" s="138"/>
      <c r="T91" s="138"/>
      <c r="U91" s="104"/>
      <c r="V91" s="100"/>
      <c r="W91" s="101"/>
    </row>
    <row r="92" spans="2:23" ht="18" customHeight="1" x14ac:dyDescent="0.4">
      <c r="B92" s="98"/>
      <c r="C92" s="99"/>
      <c r="D92" s="99"/>
      <c r="E92" s="99"/>
      <c r="F92" s="99"/>
      <c r="G92" s="99"/>
      <c r="H92" s="99"/>
      <c r="I92" s="99"/>
      <c r="J92" s="100"/>
      <c r="K92" s="100"/>
      <c r="L92" s="101"/>
      <c r="M92" s="137"/>
      <c r="N92" s="138"/>
      <c r="O92" s="138"/>
      <c r="P92" s="138"/>
      <c r="Q92" s="138"/>
      <c r="R92" s="138"/>
      <c r="S92" s="138"/>
      <c r="T92" s="138"/>
      <c r="U92" s="104"/>
      <c r="V92" s="100"/>
      <c r="W92" s="101"/>
    </row>
    <row r="93" spans="2:23" ht="18" customHeight="1" x14ac:dyDescent="0.4">
      <c r="B93" s="98"/>
      <c r="C93" s="99"/>
      <c r="D93" s="99"/>
      <c r="E93" s="99"/>
      <c r="F93" s="99"/>
      <c r="G93" s="99"/>
      <c r="H93" s="99"/>
      <c r="I93" s="99"/>
      <c r="J93" s="100"/>
      <c r="K93" s="100"/>
      <c r="L93" s="101"/>
      <c r="M93" s="137"/>
      <c r="N93" s="138"/>
      <c r="O93" s="138"/>
      <c r="P93" s="138"/>
      <c r="Q93" s="138"/>
      <c r="R93" s="138"/>
      <c r="S93" s="138"/>
      <c r="T93" s="138"/>
      <c r="U93" s="104"/>
      <c r="V93" s="100"/>
      <c r="W93" s="101"/>
    </row>
    <row r="94" spans="2:23" ht="18" customHeight="1" x14ac:dyDescent="0.4">
      <c r="B94" s="98"/>
      <c r="C94" s="99"/>
      <c r="D94" s="99"/>
      <c r="E94" s="99"/>
      <c r="F94" s="99"/>
      <c r="G94" s="99"/>
      <c r="H94" s="99"/>
      <c r="I94" s="99"/>
      <c r="J94" s="100"/>
      <c r="K94" s="100"/>
      <c r="L94" s="101"/>
      <c r="M94" s="137"/>
      <c r="N94" s="138"/>
      <c r="O94" s="138"/>
      <c r="P94" s="138"/>
      <c r="Q94" s="138"/>
      <c r="R94" s="138"/>
      <c r="S94" s="138"/>
      <c r="T94" s="138"/>
      <c r="U94" s="104"/>
      <c r="V94" s="100"/>
      <c r="W94" s="101"/>
    </row>
    <row r="95" spans="2:23" ht="18" customHeight="1" x14ac:dyDescent="0.4">
      <c r="B95" s="98"/>
      <c r="C95" s="99"/>
      <c r="D95" s="99"/>
      <c r="E95" s="99"/>
      <c r="F95" s="99"/>
      <c r="G95" s="99"/>
      <c r="H95" s="99"/>
      <c r="I95" s="99"/>
      <c r="J95" s="100"/>
      <c r="K95" s="100"/>
      <c r="L95" s="101"/>
      <c r="M95" s="137"/>
      <c r="N95" s="138"/>
      <c r="O95" s="138"/>
      <c r="P95" s="138"/>
      <c r="Q95" s="138"/>
      <c r="R95" s="138"/>
      <c r="S95" s="138"/>
      <c r="T95" s="138"/>
      <c r="U95" s="104"/>
      <c r="V95" s="100"/>
      <c r="W95" s="101"/>
    </row>
    <row r="96" spans="2:23" ht="18" customHeight="1" x14ac:dyDescent="0.4">
      <c r="B96" s="98"/>
      <c r="C96" s="99"/>
      <c r="D96" s="99"/>
      <c r="E96" s="99"/>
      <c r="F96" s="99"/>
      <c r="G96" s="99"/>
      <c r="H96" s="99"/>
      <c r="I96" s="99"/>
      <c r="J96" s="100"/>
      <c r="K96" s="100"/>
      <c r="L96" s="101"/>
      <c r="M96" s="137"/>
      <c r="N96" s="138"/>
      <c r="O96" s="138"/>
      <c r="P96" s="138"/>
      <c r="Q96" s="138"/>
      <c r="R96" s="138"/>
      <c r="S96" s="138"/>
      <c r="T96" s="138"/>
      <c r="U96" s="104"/>
      <c r="V96" s="100"/>
      <c r="W96" s="101"/>
    </row>
    <row r="97" spans="2:23" ht="18" customHeight="1" x14ac:dyDescent="0.4">
      <c r="B97" s="98"/>
      <c r="C97" s="99"/>
      <c r="D97" s="99"/>
      <c r="E97" s="99"/>
      <c r="F97" s="99"/>
      <c r="G97" s="99"/>
      <c r="H97" s="99"/>
      <c r="I97" s="99"/>
      <c r="J97" s="100"/>
      <c r="K97" s="100"/>
      <c r="L97" s="101"/>
      <c r="M97" s="137"/>
      <c r="N97" s="138"/>
      <c r="O97" s="138"/>
      <c r="P97" s="138"/>
      <c r="Q97" s="138"/>
      <c r="R97" s="138"/>
      <c r="S97" s="138"/>
      <c r="T97" s="138"/>
      <c r="U97" s="104"/>
      <c r="V97" s="100"/>
      <c r="W97" s="101"/>
    </row>
    <row r="98" spans="2:23" ht="18" customHeight="1" x14ac:dyDescent="0.4">
      <c r="B98" s="98"/>
      <c r="C98" s="99"/>
      <c r="D98" s="99"/>
      <c r="E98" s="99"/>
      <c r="F98" s="99"/>
      <c r="G98" s="99"/>
      <c r="H98" s="99"/>
      <c r="I98" s="99"/>
      <c r="J98" s="100"/>
      <c r="K98" s="100"/>
      <c r="L98" s="101"/>
      <c r="M98" s="137"/>
      <c r="N98" s="138"/>
      <c r="O98" s="138"/>
      <c r="P98" s="138"/>
      <c r="Q98" s="138"/>
      <c r="R98" s="138"/>
      <c r="S98" s="138"/>
      <c r="T98" s="138"/>
      <c r="U98" s="104"/>
      <c r="V98" s="100"/>
      <c r="W98" s="101"/>
    </row>
    <row r="99" spans="2:23" ht="18" customHeight="1" x14ac:dyDescent="0.4">
      <c r="B99" s="98"/>
      <c r="C99" s="99"/>
      <c r="D99" s="99"/>
      <c r="E99" s="99"/>
      <c r="F99" s="99"/>
      <c r="G99" s="99"/>
      <c r="H99" s="99"/>
      <c r="I99" s="99"/>
      <c r="J99" s="100"/>
      <c r="K99" s="100"/>
      <c r="L99" s="101"/>
      <c r="M99" s="137"/>
      <c r="N99" s="138"/>
      <c r="O99" s="138"/>
      <c r="P99" s="138"/>
      <c r="Q99" s="138"/>
      <c r="R99" s="138"/>
      <c r="S99" s="138"/>
      <c r="T99" s="138"/>
      <c r="U99" s="104"/>
      <c r="V99" s="100"/>
      <c r="W99" s="101"/>
    </row>
    <row r="100" spans="2:23" ht="18" customHeight="1" x14ac:dyDescent="0.4">
      <c r="B100" s="98"/>
      <c r="C100" s="99"/>
      <c r="D100" s="99"/>
      <c r="E100" s="99"/>
      <c r="F100" s="99"/>
      <c r="G100" s="99"/>
      <c r="H100" s="99"/>
      <c r="I100" s="99"/>
      <c r="J100" s="100"/>
      <c r="K100" s="100"/>
      <c r="L100" s="101"/>
      <c r="M100" s="137"/>
      <c r="N100" s="138"/>
      <c r="O100" s="138"/>
      <c r="P100" s="138"/>
      <c r="Q100" s="138"/>
      <c r="R100" s="138"/>
      <c r="S100" s="138"/>
      <c r="T100" s="138"/>
      <c r="U100" s="104"/>
      <c r="V100" s="100"/>
      <c r="W100" s="101"/>
    </row>
    <row r="101" spans="2:23" ht="18" customHeight="1" x14ac:dyDescent="0.4">
      <c r="B101" s="98"/>
      <c r="C101" s="99"/>
      <c r="D101" s="99"/>
      <c r="E101" s="99"/>
      <c r="F101" s="99"/>
      <c r="G101" s="99"/>
      <c r="H101" s="99"/>
      <c r="I101" s="99"/>
      <c r="J101" s="100"/>
      <c r="K101" s="100"/>
      <c r="L101" s="101"/>
      <c r="M101" s="137"/>
      <c r="N101" s="138"/>
      <c r="O101" s="138"/>
      <c r="P101" s="138"/>
      <c r="Q101" s="138"/>
      <c r="R101" s="138"/>
      <c r="S101" s="138"/>
      <c r="T101" s="138"/>
      <c r="U101" s="104"/>
      <c r="V101" s="100"/>
      <c r="W101" s="101"/>
    </row>
    <row r="102" spans="2:23" ht="18" customHeight="1" x14ac:dyDescent="0.4">
      <c r="B102" s="105"/>
      <c r="C102" s="106"/>
      <c r="D102" s="106"/>
      <c r="E102" s="106"/>
      <c r="F102" s="106"/>
      <c r="G102" s="106"/>
      <c r="H102" s="106"/>
      <c r="I102" s="106"/>
      <c r="J102" s="107"/>
      <c r="K102" s="107"/>
      <c r="L102" s="108"/>
      <c r="M102" s="139"/>
      <c r="N102" s="140"/>
      <c r="O102" s="140"/>
      <c r="P102" s="140"/>
      <c r="Q102" s="140"/>
      <c r="R102" s="140"/>
      <c r="S102" s="140"/>
      <c r="T102" s="140"/>
      <c r="U102" s="111"/>
      <c r="V102" s="107"/>
      <c r="W102" s="108"/>
    </row>
    <row r="103" spans="2:23" ht="18" customHeight="1" x14ac:dyDescent="0.4">
      <c r="B103" s="86"/>
      <c r="C103" s="87"/>
      <c r="D103" s="87"/>
      <c r="E103" s="87"/>
      <c r="F103" s="87"/>
      <c r="G103" s="87"/>
      <c r="H103" s="87"/>
      <c r="I103" s="87"/>
      <c r="J103" s="88"/>
      <c r="K103" s="87"/>
      <c r="L103" s="89"/>
      <c r="M103" s="90"/>
      <c r="N103" s="87"/>
      <c r="O103" s="87"/>
      <c r="P103" s="87"/>
      <c r="Q103" s="87"/>
      <c r="R103" s="87"/>
      <c r="S103" s="87"/>
      <c r="T103" s="87"/>
      <c r="U103" s="88"/>
      <c r="V103" s="87"/>
      <c r="W103" s="89"/>
    </row>
    <row r="104" spans="2:23" ht="18" customHeight="1" x14ac:dyDescent="0.4">
      <c r="B104" s="91"/>
      <c r="C104" s="92"/>
      <c r="D104" s="92"/>
      <c r="E104" s="92"/>
      <c r="F104" s="92"/>
      <c r="G104" s="92"/>
      <c r="H104" s="92"/>
      <c r="I104" s="92"/>
      <c r="J104" s="93"/>
      <c r="K104" s="93"/>
      <c r="L104" s="94"/>
      <c r="M104" s="95"/>
      <c r="N104" s="96"/>
      <c r="O104" s="96"/>
      <c r="P104" s="96"/>
      <c r="Q104" s="96"/>
      <c r="R104" s="96"/>
      <c r="S104" s="96"/>
      <c r="T104" s="96"/>
      <c r="U104" s="97"/>
      <c r="V104" s="93"/>
      <c r="W104" s="94"/>
    </row>
    <row r="105" spans="2:23" ht="18" customHeight="1" x14ac:dyDescent="0.4">
      <c r="B105" s="98"/>
      <c r="C105" s="99"/>
      <c r="D105" s="99"/>
      <c r="E105" s="99"/>
      <c r="F105" s="99"/>
      <c r="G105" s="99"/>
      <c r="H105" s="99"/>
      <c r="I105" s="99"/>
      <c r="J105" s="100"/>
      <c r="K105" s="100"/>
      <c r="L105" s="101"/>
      <c r="M105" s="102"/>
      <c r="N105" s="103"/>
      <c r="O105" s="103"/>
      <c r="P105" s="103"/>
      <c r="Q105" s="103"/>
      <c r="R105" s="103"/>
      <c r="S105" s="103"/>
      <c r="T105" s="103"/>
      <c r="U105" s="104"/>
      <c r="V105" s="100"/>
      <c r="W105" s="101"/>
    </row>
    <row r="106" spans="2:23" ht="18" customHeight="1" x14ac:dyDescent="0.4">
      <c r="B106" s="98"/>
      <c r="C106" s="99"/>
      <c r="D106" s="99"/>
      <c r="E106" s="99"/>
      <c r="F106" s="99"/>
      <c r="G106" s="99"/>
      <c r="H106" s="99"/>
      <c r="I106" s="99"/>
      <c r="J106" s="100"/>
      <c r="K106" s="100"/>
      <c r="L106" s="101"/>
      <c r="M106" s="102"/>
      <c r="N106" s="103"/>
      <c r="O106" s="103"/>
      <c r="P106" s="103"/>
      <c r="Q106" s="103"/>
      <c r="R106" s="103"/>
      <c r="S106" s="103"/>
      <c r="T106" s="103"/>
      <c r="U106" s="104"/>
      <c r="V106" s="100"/>
      <c r="W106" s="101"/>
    </row>
    <row r="107" spans="2:23" ht="18" customHeight="1" x14ac:dyDescent="0.4">
      <c r="B107" s="98"/>
      <c r="C107" s="99"/>
      <c r="D107" s="99"/>
      <c r="E107" s="99"/>
      <c r="F107" s="99"/>
      <c r="G107" s="99"/>
      <c r="H107" s="99"/>
      <c r="I107" s="99"/>
      <c r="J107" s="100"/>
      <c r="K107" s="100"/>
      <c r="L107" s="101"/>
      <c r="M107" s="102"/>
      <c r="N107" s="103"/>
      <c r="O107" s="103"/>
      <c r="P107" s="103"/>
      <c r="Q107" s="103"/>
      <c r="R107" s="103"/>
      <c r="S107" s="103"/>
      <c r="T107" s="103"/>
      <c r="U107" s="104"/>
      <c r="V107" s="100"/>
      <c r="W107" s="101"/>
    </row>
    <row r="108" spans="2:23" ht="18" customHeight="1" x14ac:dyDescent="0.4">
      <c r="B108" s="98"/>
      <c r="C108" s="99"/>
      <c r="D108" s="99"/>
      <c r="E108" s="99"/>
      <c r="F108" s="99"/>
      <c r="G108" s="99"/>
      <c r="H108" s="99"/>
      <c r="I108" s="99"/>
      <c r="J108" s="100"/>
      <c r="K108" s="100"/>
      <c r="L108" s="101"/>
      <c r="M108" s="102"/>
      <c r="N108" s="103"/>
      <c r="O108" s="103"/>
      <c r="P108" s="103"/>
      <c r="Q108" s="103"/>
      <c r="R108" s="103"/>
      <c r="S108" s="103"/>
      <c r="T108" s="103"/>
      <c r="U108" s="104"/>
      <c r="V108" s="100"/>
      <c r="W108" s="101"/>
    </row>
    <row r="109" spans="2:23" ht="18" customHeight="1" x14ac:dyDescent="0.4">
      <c r="B109" s="98"/>
      <c r="C109" s="99"/>
      <c r="D109" s="99"/>
      <c r="E109" s="99"/>
      <c r="F109" s="99"/>
      <c r="G109" s="99"/>
      <c r="H109" s="99"/>
      <c r="I109" s="99"/>
      <c r="J109" s="100"/>
      <c r="K109" s="100"/>
      <c r="L109" s="101"/>
      <c r="M109" s="102"/>
      <c r="N109" s="103"/>
      <c r="O109" s="103"/>
      <c r="P109" s="103"/>
      <c r="Q109" s="103"/>
      <c r="R109" s="103"/>
      <c r="S109" s="103"/>
      <c r="T109" s="103"/>
      <c r="U109" s="104"/>
      <c r="V109" s="100"/>
      <c r="W109" s="101"/>
    </row>
    <row r="110" spans="2:23" ht="18" customHeight="1" x14ac:dyDescent="0.4">
      <c r="B110" s="98"/>
      <c r="C110" s="99"/>
      <c r="D110" s="99"/>
      <c r="E110" s="99"/>
      <c r="F110" s="99"/>
      <c r="G110" s="99"/>
      <c r="H110" s="99"/>
      <c r="I110" s="99"/>
      <c r="J110" s="100"/>
      <c r="K110" s="100"/>
      <c r="L110" s="101"/>
      <c r="M110" s="102"/>
      <c r="N110" s="103"/>
      <c r="O110" s="103"/>
      <c r="P110" s="103"/>
      <c r="Q110" s="103"/>
      <c r="R110" s="103"/>
      <c r="S110" s="103"/>
      <c r="T110" s="103"/>
      <c r="U110" s="104"/>
      <c r="V110" s="100"/>
      <c r="W110" s="101"/>
    </row>
    <row r="111" spans="2:23" ht="18" customHeight="1" x14ac:dyDescent="0.4">
      <c r="B111" s="98"/>
      <c r="C111" s="99"/>
      <c r="D111" s="99"/>
      <c r="E111" s="99"/>
      <c r="F111" s="99"/>
      <c r="G111" s="99"/>
      <c r="H111" s="99"/>
      <c r="I111" s="99"/>
      <c r="J111" s="100"/>
      <c r="K111" s="100"/>
      <c r="L111" s="101"/>
      <c r="M111" s="102"/>
      <c r="N111" s="103"/>
      <c r="O111" s="103"/>
      <c r="P111" s="103"/>
      <c r="Q111" s="103"/>
      <c r="R111" s="103"/>
      <c r="S111" s="103"/>
      <c r="T111" s="103"/>
      <c r="U111" s="104"/>
      <c r="V111" s="100"/>
      <c r="W111" s="101"/>
    </row>
    <row r="112" spans="2:23" ht="18" customHeight="1" x14ac:dyDescent="0.4">
      <c r="B112" s="98"/>
      <c r="C112" s="99"/>
      <c r="D112" s="99"/>
      <c r="E112" s="99"/>
      <c r="F112" s="99"/>
      <c r="G112" s="99"/>
      <c r="H112" s="99"/>
      <c r="I112" s="99"/>
      <c r="J112" s="100"/>
      <c r="K112" s="100"/>
      <c r="L112" s="101"/>
      <c r="M112" s="102"/>
      <c r="N112" s="103"/>
      <c r="O112" s="103"/>
      <c r="P112" s="103"/>
      <c r="Q112" s="103"/>
      <c r="R112" s="103"/>
      <c r="S112" s="103"/>
      <c r="T112" s="103"/>
      <c r="U112" s="104"/>
      <c r="V112" s="100"/>
      <c r="W112" s="101"/>
    </row>
    <row r="113" spans="2:23" ht="18" customHeight="1" x14ac:dyDescent="0.4">
      <c r="B113" s="105"/>
      <c r="C113" s="106"/>
      <c r="D113" s="106"/>
      <c r="E113" s="106"/>
      <c r="F113" s="106"/>
      <c r="G113" s="106"/>
      <c r="H113" s="106"/>
      <c r="I113" s="106"/>
      <c r="J113" s="107"/>
      <c r="K113" s="107"/>
      <c r="L113" s="108"/>
      <c r="M113" s="109"/>
      <c r="N113" s="110"/>
      <c r="O113" s="110"/>
      <c r="P113" s="110"/>
      <c r="Q113" s="110"/>
      <c r="R113" s="110"/>
      <c r="S113" s="110"/>
      <c r="T113" s="110"/>
      <c r="U113" s="111"/>
      <c r="V113" s="107"/>
      <c r="W113" s="108"/>
    </row>
    <row r="114" spans="2:23" ht="18" customHeight="1" x14ac:dyDescent="0.4">
      <c r="B114" s="86"/>
      <c r="C114" s="87"/>
      <c r="D114" s="87"/>
      <c r="E114" s="87"/>
      <c r="F114" s="87"/>
      <c r="G114" s="87"/>
      <c r="H114" s="87"/>
      <c r="I114" s="87"/>
      <c r="J114" s="88"/>
      <c r="K114" s="87"/>
      <c r="L114" s="89"/>
      <c r="M114" s="90"/>
      <c r="N114" s="87"/>
      <c r="O114" s="87"/>
      <c r="P114" s="87"/>
      <c r="Q114" s="87"/>
      <c r="R114" s="87"/>
      <c r="S114" s="87"/>
      <c r="T114" s="87"/>
      <c r="U114" s="88"/>
      <c r="V114" s="87"/>
      <c r="W114" s="89"/>
    </row>
    <row r="115" spans="2:23" ht="18" customHeight="1" x14ac:dyDescent="0.4">
      <c r="B115" s="91"/>
      <c r="C115" s="92"/>
      <c r="D115" s="92"/>
      <c r="E115" s="92"/>
      <c r="F115" s="92"/>
      <c r="G115" s="92"/>
      <c r="H115" s="92"/>
      <c r="I115" s="92"/>
      <c r="J115" s="93"/>
      <c r="K115" s="93"/>
      <c r="L115" s="94"/>
      <c r="M115" s="95"/>
      <c r="N115" s="96"/>
      <c r="O115" s="96"/>
      <c r="P115" s="96"/>
      <c r="Q115" s="96"/>
      <c r="R115" s="96"/>
      <c r="S115" s="96"/>
      <c r="T115" s="96"/>
      <c r="U115" s="97"/>
      <c r="V115" s="93"/>
      <c r="W115" s="94"/>
    </row>
    <row r="116" spans="2:23" ht="18" customHeight="1" x14ac:dyDescent="0.4">
      <c r="B116" s="98"/>
      <c r="C116" s="99"/>
      <c r="D116" s="99"/>
      <c r="E116" s="99"/>
      <c r="F116" s="99"/>
      <c r="G116" s="99"/>
      <c r="H116" s="99"/>
      <c r="I116" s="99"/>
      <c r="J116" s="100"/>
      <c r="K116" s="100"/>
      <c r="L116" s="101"/>
      <c r="M116" s="102"/>
      <c r="N116" s="103"/>
      <c r="O116" s="103"/>
      <c r="P116" s="103"/>
      <c r="Q116" s="103"/>
      <c r="R116" s="103"/>
      <c r="S116" s="103"/>
      <c r="T116" s="103"/>
      <c r="U116" s="104"/>
      <c r="V116" s="100"/>
      <c r="W116" s="101"/>
    </row>
    <row r="117" spans="2:23" ht="18" customHeight="1" x14ac:dyDescent="0.4">
      <c r="B117" s="98"/>
      <c r="C117" s="99"/>
      <c r="D117" s="99"/>
      <c r="E117" s="99"/>
      <c r="F117" s="99"/>
      <c r="G117" s="99"/>
      <c r="H117" s="99"/>
      <c r="I117" s="99"/>
      <c r="J117" s="100"/>
      <c r="K117" s="100"/>
      <c r="L117" s="101"/>
      <c r="M117" s="102"/>
      <c r="N117" s="103"/>
      <c r="O117" s="103"/>
      <c r="P117" s="103"/>
      <c r="Q117" s="103"/>
      <c r="R117" s="103"/>
      <c r="S117" s="103"/>
      <c r="T117" s="103"/>
      <c r="U117" s="104"/>
      <c r="V117" s="100"/>
      <c r="W117" s="101"/>
    </row>
    <row r="118" spans="2:23" ht="18" customHeight="1" x14ac:dyDescent="0.4">
      <c r="B118" s="98"/>
      <c r="C118" s="99"/>
      <c r="D118" s="99"/>
      <c r="E118" s="99"/>
      <c r="F118" s="99"/>
      <c r="G118" s="99"/>
      <c r="H118" s="99"/>
      <c r="I118" s="99"/>
      <c r="J118" s="100"/>
      <c r="K118" s="100"/>
      <c r="L118" s="101"/>
      <c r="M118" s="102"/>
      <c r="N118" s="103"/>
      <c r="O118" s="103"/>
      <c r="P118" s="103"/>
      <c r="Q118" s="103"/>
      <c r="R118" s="103"/>
      <c r="S118" s="103"/>
      <c r="T118" s="103"/>
      <c r="U118" s="104"/>
      <c r="V118" s="100"/>
      <c r="W118" s="101"/>
    </row>
    <row r="119" spans="2:23" ht="18" customHeight="1" x14ac:dyDescent="0.4">
      <c r="B119" s="98"/>
      <c r="C119" s="99"/>
      <c r="D119" s="99"/>
      <c r="E119" s="99"/>
      <c r="F119" s="99"/>
      <c r="G119" s="99"/>
      <c r="H119" s="99"/>
      <c r="I119" s="99"/>
      <c r="J119" s="100"/>
      <c r="K119" s="100"/>
      <c r="L119" s="101"/>
      <c r="M119" s="102"/>
      <c r="N119" s="103"/>
      <c r="O119" s="103"/>
      <c r="P119" s="103"/>
      <c r="Q119" s="103"/>
      <c r="R119" s="103"/>
      <c r="S119" s="103"/>
      <c r="T119" s="103"/>
      <c r="U119" s="104"/>
      <c r="V119" s="100"/>
      <c r="W119" s="101"/>
    </row>
    <row r="120" spans="2:23" ht="18" customHeight="1" x14ac:dyDescent="0.4">
      <c r="B120" s="98"/>
      <c r="C120" s="99"/>
      <c r="D120" s="99"/>
      <c r="E120" s="99"/>
      <c r="F120" s="99"/>
      <c r="G120" s="99"/>
      <c r="H120" s="99"/>
      <c r="I120" s="99"/>
      <c r="J120" s="100"/>
      <c r="K120" s="100"/>
      <c r="L120" s="101"/>
      <c r="M120" s="102"/>
      <c r="N120" s="103"/>
      <c r="O120" s="103"/>
      <c r="P120" s="103"/>
      <c r="Q120" s="103"/>
      <c r="R120" s="103"/>
      <c r="S120" s="103"/>
      <c r="T120" s="103"/>
      <c r="U120" s="104"/>
      <c r="V120" s="100"/>
      <c r="W120" s="101"/>
    </row>
    <row r="121" spans="2:23" ht="18" customHeight="1" x14ac:dyDescent="0.4">
      <c r="B121" s="98"/>
      <c r="C121" s="99"/>
      <c r="D121" s="99"/>
      <c r="E121" s="99"/>
      <c r="F121" s="99"/>
      <c r="G121" s="99"/>
      <c r="H121" s="99"/>
      <c r="I121" s="99"/>
      <c r="J121" s="100"/>
      <c r="K121" s="100"/>
      <c r="L121" s="101"/>
      <c r="M121" s="102"/>
      <c r="N121" s="103"/>
      <c r="O121" s="103"/>
      <c r="P121" s="103"/>
      <c r="Q121" s="103"/>
      <c r="R121" s="103"/>
      <c r="S121" s="103"/>
      <c r="T121" s="103"/>
      <c r="U121" s="104"/>
      <c r="V121" s="100"/>
      <c r="W121" s="101"/>
    </row>
    <row r="122" spans="2:23" ht="18" customHeight="1" x14ac:dyDescent="0.4">
      <c r="B122" s="98"/>
      <c r="C122" s="99"/>
      <c r="D122" s="99"/>
      <c r="E122" s="99"/>
      <c r="F122" s="99"/>
      <c r="G122" s="99"/>
      <c r="H122" s="99"/>
      <c r="I122" s="99"/>
      <c r="J122" s="100"/>
      <c r="K122" s="100"/>
      <c r="L122" s="101"/>
      <c r="M122" s="102"/>
      <c r="N122" s="103"/>
      <c r="O122" s="103"/>
      <c r="P122" s="103"/>
      <c r="Q122" s="103"/>
      <c r="R122" s="103"/>
      <c r="S122" s="103"/>
      <c r="T122" s="103"/>
      <c r="U122" s="104"/>
      <c r="V122" s="100"/>
      <c r="W122" s="101"/>
    </row>
    <row r="123" spans="2:23" ht="18" customHeight="1" x14ac:dyDescent="0.4">
      <c r="B123" s="98"/>
      <c r="C123" s="99"/>
      <c r="D123" s="99"/>
      <c r="E123" s="99"/>
      <c r="F123" s="99"/>
      <c r="G123" s="99"/>
      <c r="H123" s="99"/>
      <c r="I123" s="99"/>
      <c r="J123" s="100"/>
      <c r="K123" s="100"/>
      <c r="L123" s="101"/>
      <c r="M123" s="102"/>
      <c r="N123" s="103"/>
      <c r="O123" s="103"/>
      <c r="P123" s="103"/>
      <c r="Q123" s="103"/>
      <c r="R123" s="103"/>
      <c r="S123" s="103"/>
      <c r="T123" s="103"/>
      <c r="U123" s="104"/>
      <c r="V123" s="100"/>
      <c r="W123" s="101"/>
    </row>
    <row r="124" spans="2:23" ht="18" customHeight="1" x14ac:dyDescent="0.4">
      <c r="B124" s="105"/>
      <c r="C124" s="106"/>
      <c r="D124" s="106"/>
      <c r="E124" s="106"/>
      <c r="F124" s="106"/>
      <c r="G124" s="106"/>
      <c r="H124" s="106"/>
      <c r="I124" s="106"/>
      <c r="J124" s="107"/>
      <c r="K124" s="107"/>
      <c r="L124" s="108"/>
      <c r="M124" s="109"/>
      <c r="N124" s="110"/>
      <c r="O124" s="110"/>
      <c r="P124" s="110"/>
      <c r="Q124" s="110"/>
      <c r="R124" s="110"/>
      <c r="S124" s="110"/>
      <c r="T124" s="110"/>
      <c r="U124" s="111"/>
      <c r="V124" s="107"/>
      <c r="W124" s="108"/>
    </row>
    <row r="125" spans="2:23" ht="18" customHeight="1" x14ac:dyDescent="0.4">
      <c r="B125" s="86"/>
      <c r="C125" s="87"/>
      <c r="D125" s="87"/>
      <c r="E125" s="87"/>
      <c r="F125" s="87"/>
      <c r="G125" s="87"/>
      <c r="H125" s="87"/>
      <c r="I125" s="87"/>
      <c r="J125" s="88" t="s">
        <v>105</v>
      </c>
      <c r="K125" s="87"/>
      <c r="L125" s="89"/>
      <c r="M125" s="90">
        <f>B125</f>
        <v>0</v>
      </c>
      <c r="N125" s="87"/>
      <c r="O125" s="87"/>
      <c r="P125" s="87"/>
      <c r="Q125" s="87"/>
      <c r="R125" s="87"/>
      <c r="S125" s="87"/>
      <c r="T125" s="87"/>
      <c r="U125" s="88" t="s">
        <v>105</v>
      </c>
      <c r="V125" s="87"/>
      <c r="W125" s="89"/>
    </row>
    <row r="126" spans="2:23" ht="18" customHeight="1" x14ac:dyDescent="0.4">
      <c r="B126" s="91"/>
      <c r="C126" s="92"/>
      <c r="D126" s="92"/>
      <c r="E126" s="92"/>
      <c r="F126" s="92"/>
      <c r="G126" s="92"/>
      <c r="H126" s="92"/>
      <c r="I126" s="92"/>
      <c r="J126" s="93"/>
      <c r="K126" s="93"/>
      <c r="L126" s="94"/>
      <c r="M126" s="95"/>
      <c r="N126" s="96"/>
      <c r="O126" s="96"/>
      <c r="P126" s="96"/>
      <c r="Q126" s="96"/>
      <c r="R126" s="96"/>
      <c r="S126" s="96"/>
      <c r="T126" s="96"/>
      <c r="U126" s="97">
        <f t="shared" ref="U126:U135" si="58">J126</f>
        <v>0</v>
      </c>
      <c r="V126" s="93"/>
      <c r="W126" s="94"/>
    </row>
    <row r="127" spans="2:23" ht="18" customHeight="1" x14ac:dyDescent="0.4">
      <c r="B127" s="98"/>
      <c r="C127" s="99"/>
      <c r="D127" s="99"/>
      <c r="E127" s="99"/>
      <c r="F127" s="99"/>
      <c r="G127" s="99"/>
      <c r="H127" s="99"/>
      <c r="I127" s="99"/>
      <c r="J127" s="100"/>
      <c r="K127" s="100"/>
      <c r="L127" s="101"/>
      <c r="M127" s="102"/>
      <c r="N127" s="103"/>
      <c r="O127" s="103"/>
      <c r="P127" s="103"/>
      <c r="Q127" s="103"/>
      <c r="R127" s="103"/>
      <c r="S127" s="103"/>
      <c r="T127" s="103"/>
      <c r="U127" s="104">
        <f t="shared" si="58"/>
        <v>0</v>
      </c>
      <c r="V127" s="100"/>
      <c r="W127" s="101"/>
    </row>
    <row r="128" spans="2:23" ht="18" customHeight="1" x14ac:dyDescent="0.4">
      <c r="B128" s="98"/>
      <c r="C128" s="99"/>
      <c r="D128" s="99"/>
      <c r="E128" s="99"/>
      <c r="F128" s="99"/>
      <c r="G128" s="99"/>
      <c r="H128" s="99"/>
      <c r="I128" s="99"/>
      <c r="J128" s="100"/>
      <c r="K128" s="100"/>
      <c r="L128" s="101"/>
      <c r="M128" s="102"/>
      <c r="N128" s="103"/>
      <c r="O128" s="103"/>
      <c r="P128" s="103"/>
      <c r="Q128" s="103"/>
      <c r="R128" s="103"/>
      <c r="S128" s="103"/>
      <c r="T128" s="103"/>
      <c r="U128" s="104">
        <f t="shared" si="58"/>
        <v>0</v>
      </c>
      <c r="V128" s="100"/>
      <c r="W128" s="101"/>
    </row>
    <row r="129" spans="2:23" ht="18" customHeight="1" x14ac:dyDescent="0.4">
      <c r="B129" s="98"/>
      <c r="C129" s="99"/>
      <c r="D129" s="99"/>
      <c r="E129" s="99"/>
      <c r="F129" s="99"/>
      <c r="G129" s="99"/>
      <c r="H129" s="99"/>
      <c r="I129" s="99"/>
      <c r="J129" s="100"/>
      <c r="K129" s="100"/>
      <c r="L129" s="101"/>
      <c r="M129" s="102"/>
      <c r="N129" s="103"/>
      <c r="O129" s="103"/>
      <c r="P129" s="103"/>
      <c r="Q129" s="103"/>
      <c r="R129" s="103"/>
      <c r="S129" s="103"/>
      <c r="T129" s="103"/>
      <c r="U129" s="104">
        <f t="shared" si="58"/>
        <v>0</v>
      </c>
      <c r="V129" s="100"/>
      <c r="W129" s="101"/>
    </row>
    <row r="130" spans="2:23" ht="18" customHeight="1" x14ac:dyDescent="0.4">
      <c r="B130" s="98"/>
      <c r="C130" s="99"/>
      <c r="D130" s="99"/>
      <c r="E130" s="99"/>
      <c r="F130" s="99"/>
      <c r="G130" s="99"/>
      <c r="H130" s="99"/>
      <c r="I130" s="99"/>
      <c r="J130" s="100"/>
      <c r="K130" s="100"/>
      <c r="L130" s="101"/>
      <c r="M130" s="102"/>
      <c r="N130" s="103"/>
      <c r="O130" s="103"/>
      <c r="P130" s="103"/>
      <c r="Q130" s="103"/>
      <c r="R130" s="103"/>
      <c r="S130" s="103"/>
      <c r="T130" s="103"/>
      <c r="U130" s="104">
        <f t="shared" si="58"/>
        <v>0</v>
      </c>
      <c r="V130" s="100"/>
      <c r="W130" s="101"/>
    </row>
    <row r="131" spans="2:23" ht="18" customHeight="1" x14ac:dyDescent="0.4">
      <c r="B131" s="98"/>
      <c r="C131" s="99"/>
      <c r="D131" s="99"/>
      <c r="E131" s="99"/>
      <c r="F131" s="99"/>
      <c r="G131" s="99"/>
      <c r="H131" s="99"/>
      <c r="I131" s="99"/>
      <c r="J131" s="100"/>
      <c r="K131" s="100"/>
      <c r="L131" s="101"/>
      <c r="M131" s="102"/>
      <c r="N131" s="103"/>
      <c r="O131" s="103"/>
      <c r="P131" s="103"/>
      <c r="Q131" s="103"/>
      <c r="R131" s="103"/>
      <c r="S131" s="103"/>
      <c r="T131" s="103"/>
      <c r="U131" s="104">
        <f t="shared" si="58"/>
        <v>0</v>
      </c>
      <c r="V131" s="100"/>
      <c r="W131" s="101"/>
    </row>
    <row r="132" spans="2:23" ht="18" customHeight="1" x14ac:dyDescent="0.4">
      <c r="B132" s="98"/>
      <c r="C132" s="99"/>
      <c r="D132" s="99"/>
      <c r="E132" s="99"/>
      <c r="F132" s="99"/>
      <c r="G132" s="99"/>
      <c r="H132" s="99"/>
      <c r="I132" s="99"/>
      <c r="J132" s="100"/>
      <c r="K132" s="100"/>
      <c r="L132" s="101"/>
      <c r="M132" s="102"/>
      <c r="N132" s="103"/>
      <c r="O132" s="103"/>
      <c r="P132" s="103"/>
      <c r="Q132" s="103"/>
      <c r="R132" s="103"/>
      <c r="S132" s="103"/>
      <c r="T132" s="103"/>
      <c r="U132" s="104">
        <f t="shared" si="58"/>
        <v>0</v>
      </c>
      <c r="V132" s="100"/>
      <c r="W132" s="101"/>
    </row>
    <row r="133" spans="2:23" ht="18" customHeight="1" x14ac:dyDescent="0.4">
      <c r="B133" s="98"/>
      <c r="C133" s="99"/>
      <c r="D133" s="99"/>
      <c r="E133" s="99"/>
      <c r="F133" s="99"/>
      <c r="G133" s="99"/>
      <c r="H133" s="99"/>
      <c r="I133" s="99"/>
      <c r="J133" s="100"/>
      <c r="K133" s="100"/>
      <c r="L133" s="101"/>
      <c r="M133" s="102"/>
      <c r="N133" s="103"/>
      <c r="O133" s="103"/>
      <c r="P133" s="103"/>
      <c r="Q133" s="103"/>
      <c r="R133" s="103"/>
      <c r="S133" s="103"/>
      <c r="T133" s="103"/>
      <c r="U133" s="104">
        <f t="shared" si="58"/>
        <v>0</v>
      </c>
      <c r="V133" s="100"/>
      <c r="W133" s="101"/>
    </row>
    <row r="134" spans="2:23" ht="18" customHeight="1" x14ac:dyDescent="0.4">
      <c r="B134" s="98"/>
      <c r="C134" s="99"/>
      <c r="D134" s="99"/>
      <c r="E134" s="99"/>
      <c r="F134" s="99"/>
      <c r="G134" s="99"/>
      <c r="H134" s="99"/>
      <c r="I134" s="99"/>
      <c r="J134" s="100"/>
      <c r="K134" s="100"/>
      <c r="L134" s="101"/>
      <c r="M134" s="102"/>
      <c r="N134" s="103"/>
      <c r="O134" s="103"/>
      <c r="P134" s="103"/>
      <c r="Q134" s="103"/>
      <c r="R134" s="103"/>
      <c r="S134" s="103"/>
      <c r="T134" s="103"/>
      <c r="U134" s="104">
        <f t="shared" si="58"/>
        <v>0</v>
      </c>
      <c r="V134" s="100"/>
      <c r="W134" s="101"/>
    </row>
    <row r="135" spans="2:23" ht="18" customHeight="1" x14ac:dyDescent="0.4">
      <c r="B135" s="105"/>
      <c r="C135" s="106"/>
      <c r="D135" s="106"/>
      <c r="E135" s="106"/>
      <c r="F135" s="106"/>
      <c r="G135" s="106"/>
      <c r="H135" s="106"/>
      <c r="I135" s="106"/>
      <c r="J135" s="107"/>
      <c r="K135" s="107"/>
      <c r="L135" s="108"/>
      <c r="M135" s="109"/>
      <c r="N135" s="110"/>
      <c r="O135" s="110"/>
      <c r="P135" s="110"/>
      <c r="Q135" s="110"/>
      <c r="R135" s="110"/>
      <c r="S135" s="110"/>
      <c r="T135" s="110"/>
      <c r="U135" s="111">
        <f t="shared" si="58"/>
        <v>0</v>
      </c>
      <c r="V135" s="107"/>
      <c r="W135" s="108"/>
    </row>
    <row r="136" spans="2:23" ht="18" customHeight="1" x14ac:dyDescent="0.4">
      <c r="B136" s="86"/>
      <c r="C136" s="87"/>
      <c r="D136" s="87"/>
      <c r="E136" s="87"/>
      <c r="F136" s="87"/>
      <c r="G136" s="87"/>
      <c r="H136" s="87"/>
      <c r="I136" s="87"/>
      <c r="J136" s="88" t="s">
        <v>105</v>
      </c>
      <c r="K136" s="87"/>
      <c r="L136" s="89"/>
      <c r="M136" s="90">
        <f>B136</f>
        <v>0</v>
      </c>
      <c r="N136" s="87"/>
      <c r="O136" s="87"/>
      <c r="P136" s="87"/>
      <c r="Q136" s="87"/>
      <c r="R136" s="87"/>
      <c r="S136" s="87"/>
      <c r="T136" s="87"/>
      <c r="U136" s="88" t="s">
        <v>105</v>
      </c>
      <c r="V136" s="87"/>
      <c r="W136" s="89"/>
    </row>
    <row r="137" spans="2:23" ht="18" customHeight="1" x14ac:dyDescent="0.4">
      <c r="B137" s="91"/>
      <c r="C137" s="92"/>
      <c r="D137" s="92"/>
      <c r="E137" s="92"/>
      <c r="F137" s="92"/>
      <c r="G137" s="92"/>
      <c r="H137" s="92"/>
      <c r="I137" s="92"/>
      <c r="J137" s="93"/>
      <c r="K137" s="93"/>
      <c r="L137" s="94"/>
      <c r="M137" s="95"/>
      <c r="N137" s="96"/>
      <c r="O137" s="96"/>
      <c r="P137" s="96"/>
      <c r="Q137" s="96"/>
      <c r="R137" s="96"/>
      <c r="S137" s="96"/>
      <c r="T137" s="96"/>
      <c r="U137" s="97">
        <f t="shared" ref="U137:U146" si="59">J137</f>
        <v>0</v>
      </c>
      <c r="V137" s="93"/>
      <c r="W137" s="94"/>
    </row>
    <row r="138" spans="2:23" ht="18" customHeight="1" x14ac:dyDescent="0.4">
      <c r="B138" s="98"/>
      <c r="C138" s="99"/>
      <c r="D138" s="99"/>
      <c r="E138" s="99"/>
      <c r="F138" s="99"/>
      <c r="G138" s="99"/>
      <c r="H138" s="99"/>
      <c r="I138" s="99"/>
      <c r="J138" s="100"/>
      <c r="K138" s="100"/>
      <c r="L138" s="101"/>
      <c r="M138" s="102"/>
      <c r="N138" s="103"/>
      <c r="O138" s="103"/>
      <c r="P138" s="103"/>
      <c r="Q138" s="103"/>
      <c r="R138" s="103"/>
      <c r="S138" s="103"/>
      <c r="T138" s="103"/>
      <c r="U138" s="104">
        <f t="shared" si="59"/>
        <v>0</v>
      </c>
      <c r="V138" s="100"/>
      <c r="W138" s="101"/>
    </row>
    <row r="139" spans="2:23" ht="18" customHeight="1" x14ac:dyDescent="0.4">
      <c r="B139" s="98"/>
      <c r="C139" s="99"/>
      <c r="D139" s="99"/>
      <c r="E139" s="99"/>
      <c r="F139" s="99"/>
      <c r="G139" s="99"/>
      <c r="H139" s="99"/>
      <c r="I139" s="99"/>
      <c r="J139" s="100"/>
      <c r="K139" s="100"/>
      <c r="L139" s="101"/>
      <c r="M139" s="102"/>
      <c r="N139" s="103"/>
      <c r="O139" s="103"/>
      <c r="P139" s="103"/>
      <c r="Q139" s="103"/>
      <c r="R139" s="103"/>
      <c r="S139" s="103"/>
      <c r="T139" s="103"/>
      <c r="U139" s="104">
        <f t="shared" si="59"/>
        <v>0</v>
      </c>
      <c r="V139" s="100"/>
      <c r="W139" s="101"/>
    </row>
    <row r="140" spans="2:23" ht="18" customHeight="1" x14ac:dyDescent="0.4">
      <c r="B140" s="98"/>
      <c r="C140" s="99"/>
      <c r="D140" s="99"/>
      <c r="E140" s="99"/>
      <c r="F140" s="99"/>
      <c r="G140" s="99"/>
      <c r="H140" s="99"/>
      <c r="I140" s="99"/>
      <c r="J140" s="100"/>
      <c r="K140" s="100"/>
      <c r="L140" s="101"/>
      <c r="M140" s="102"/>
      <c r="N140" s="103"/>
      <c r="O140" s="103"/>
      <c r="P140" s="103"/>
      <c r="Q140" s="103"/>
      <c r="R140" s="103"/>
      <c r="S140" s="103"/>
      <c r="T140" s="103"/>
      <c r="U140" s="104">
        <f t="shared" si="59"/>
        <v>0</v>
      </c>
      <c r="V140" s="100"/>
      <c r="W140" s="101"/>
    </row>
    <row r="141" spans="2:23" ht="18" customHeight="1" x14ac:dyDescent="0.4">
      <c r="B141" s="98"/>
      <c r="C141" s="99"/>
      <c r="D141" s="99"/>
      <c r="E141" s="99"/>
      <c r="F141" s="99"/>
      <c r="G141" s="99"/>
      <c r="H141" s="99"/>
      <c r="I141" s="99"/>
      <c r="J141" s="100"/>
      <c r="K141" s="100"/>
      <c r="L141" s="101"/>
      <c r="M141" s="102"/>
      <c r="N141" s="103"/>
      <c r="O141" s="103"/>
      <c r="P141" s="103"/>
      <c r="Q141" s="103"/>
      <c r="R141" s="103"/>
      <c r="S141" s="103"/>
      <c r="T141" s="103"/>
      <c r="U141" s="104">
        <f t="shared" si="59"/>
        <v>0</v>
      </c>
      <c r="V141" s="100"/>
      <c r="W141" s="101"/>
    </row>
    <row r="142" spans="2:23" ht="18" customHeight="1" x14ac:dyDescent="0.4">
      <c r="B142" s="98"/>
      <c r="C142" s="99"/>
      <c r="D142" s="99"/>
      <c r="E142" s="99"/>
      <c r="F142" s="99"/>
      <c r="G142" s="99"/>
      <c r="H142" s="99"/>
      <c r="I142" s="99"/>
      <c r="J142" s="100"/>
      <c r="K142" s="100"/>
      <c r="L142" s="101"/>
      <c r="M142" s="102"/>
      <c r="N142" s="103"/>
      <c r="O142" s="103"/>
      <c r="P142" s="103"/>
      <c r="Q142" s="103"/>
      <c r="R142" s="103"/>
      <c r="S142" s="103"/>
      <c r="T142" s="103"/>
      <c r="U142" s="104">
        <f t="shared" si="59"/>
        <v>0</v>
      </c>
      <c r="V142" s="100"/>
      <c r="W142" s="101"/>
    </row>
    <row r="143" spans="2:23" ht="18" customHeight="1" x14ac:dyDescent="0.4">
      <c r="B143" s="98"/>
      <c r="C143" s="99"/>
      <c r="D143" s="99"/>
      <c r="E143" s="99"/>
      <c r="F143" s="99"/>
      <c r="G143" s="99"/>
      <c r="H143" s="99"/>
      <c r="I143" s="99"/>
      <c r="J143" s="100"/>
      <c r="K143" s="100"/>
      <c r="L143" s="101"/>
      <c r="M143" s="102"/>
      <c r="N143" s="103"/>
      <c r="O143" s="103"/>
      <c r="P143" s="103"/>
      <c r="Q143" s="103"/>
      <c r="R143" s="103"/>
      <c r="S143" s="103"/>
      <c r="T143" s="103"/>
      <c r="U143" s="104">
        <f t="shared" si="59"/>
        <v>0</v>
      </c>
      <c r="V143" s="100"/>
      <c r="W143" s="101"/>
    </row>
    <row r="144" spans="2:23" ht="18" customHeight="1" x14ac:dyDescent="0.4">
      <c r="B144" s="98"/>
      <c r="C144" s="99"/>
      <c r="D144" s="99"/>
      <c r="E144" s="99"/>
      <c r="F144" s="99"/>
      <c r="G144" s="99"/>
      <c r="H144" s="99"/>
      <c r="I144" s="99"/>
      <c r="J144" s="100"/>
      <c r="K144" s="100"/>
      <c r="L144" s="101"/>
      <c r="M144" s="102"/>
      <c r="N144" s="103"/>
      <c r="O144" s="103"/>
      <c r="P144" s="103"/>
      <c r="Q144" s="103"/>
      <c r="R144" s="103"/>
      <c r="S144" s="103"/>
      <c r="T144" s="103"/>
      <c r="U144" s="104">
        <f t="shared" si="59"/>
        <v>0</v>
      </c>
      <c r="V144" s="100"/>
      <c r="W144" s="101"/>
    </row>
    <row r="145" spans="2:23" ht="18" customHeight="1" x14ac:dyDescent="0.4">
      <c r="B145" s="98"/>
      <c r="C145" s="99"/>
      <c r="D145" s="99"/>
      <c r="E145" s="99"/>
      <c r="F145" s="99"/>
      <c r="G145" s="99"/>
      <c r="H145" s="99"/>
      <c r="I145" s="99"/>
      <c r="J145" s="100"/>
      <c r="K145" s="100"/>
      <c r="L145" s="101"/>
      <c r="M145" s="102"/>
      <c r="N145" s="103"/>
      <c r="O145" s="103"/>
      <c r="P145" s="103"/>
      <c r="Q145" s="103"/>
      <c r="R145" s="103"/>
      <c r="S145" s="103"/>
      <c r="T145" s="103"/>
      <c r="U145" s="104">
        <f t="shared" si="59"/>
        <v>0</v>
      </c>
      <c r="V145" s="100"/>
      <c r="W145" s="101"/>
    </row>
    <row r="146" spans="2:23" ht="18" customHeight="1" x14ac:dyDescent="0.4">
      <c r="B146" s="105"/>
      <c r="C146" s="106"/>
      <c r="D146" s="106"/>
      <c r="E146" s="106"/>
      <c r="F146" s="106"/>
      <c r="G146" s="106"/>
      <c r="H146" s="106"/>
      <c r="I146" s="106"/>
      <c r="J146" s="107"/>
      <c r="K146" s="107"/>
      <c r="L146" s="108"/>
      <c r="M146" s="109"/>
      <c r="N146" s="110"/>
      <c r="O146" s="110"/>
      <c r="P146" s="110"/>
      <c r="Q146" s="110"/>
      <c r="R146" s="110"/>
      <c r="S146" s="110"/>
      <c r="T146" s="110"/>
      <c r="U146" s="111">
        <f t="shared" si="59"/>
        <v>0</v>
      </c>
      <c r="V146" s="107"/>
      <c r="W146" s="108"/>
    </row>
    <row r="147" spans="2:23" ht="18" customHeight="1" x14ac:dyDescent="0.4">
      <c r="B147" s="86"/>
      <c r="C147" s="87"/>
      <c r="D147" s="87"/>
      <c r="E147" s="87"/>
      <c r="F147" s="87"/>
      <c r="G147" s="87"/>
      <c r="H147" s="87"/>
      <c r="I147" s="87"/>
      <c r="J147" s="88" t="s">
        <v>105</v>
      </c>
      <c r="K147" s="87"/>
      <c r="L147" s="89"/>
      <c r="M147" s="90">
        <f>B147</f>
        <v>0</v>
      </c>
      <c r="N147" s="87"/>
      <c r="O147" s="87"/>
      <c r="P147" s="87"/>
      <c r="Q147" s="87"/>
      <c r="R147" s="87"/>
      <c r="S147" s="87"/>
      <c r="T147" s="87"/>
      <c r="U147" s="88" t="s">
        <v>105</v>
      </c>
      <c r="V147" s="87"/>
      <c r="W147" s="89"/>
    </row>
    <row r="148" spans="2:23" ht="18" customHeight="1" x14ac:dyDescent="0.4">
      <c r="B148" s="91"/>
      <c r="C148" s="92"/>
      <c r="D148" s="92"/>
      <c r="E148" s="92"/>
      <c r="F148" s="92"/>
      <c r="G148" s="92"/>
      <c r="H148" s="92"/>
      <c r="I148" s="92"/>
      <c r="J148" s="93"/>
      <c r="K148" s="93"/>
      <c r="L148" s="94"/>
      <c r="M148" s="95"/>
      <c r="N148" s="96"/>
      <c r="O148" s="96"/>
      <c r="P148" s="96"/>
      <c r="Q148" s="96"/>
      <c r="R148" s="96"/>
      <c r="S148" s="96"/>
      <c r="T148" s="96"/>
      <c r="U148" s="97">
        <f t="shared" ref="U148:U157" si="60">J148</f>
        <v>0</v>
      </c>
      <c r="V148" s="93"/>
      <c r="W148" s="94"/>
    </row>
    <row r="149" spans="2:23" ht="18" customHeight="1" x14ac:dyDescent="0.4">
      <c r="B149" s="98"/>
      <c r="C149" s="99"/>
      <c r="D149" s="99"/>
      <c r="E149" s="99"/>
      <c r="F149" s="99"/>
      <c r="G149" s="99"/>
      <c r="H149" s="99"/>
      <c r="I149" s="99"/>
      <c r="J149" s="100"/>
      <c r="K149" s="100"/>
      <c r="L149" s="101"/>
      <c r="M149" s="102"/>
      <c r="N149" s="103"/>
      <c r="O149" s="103"/>
      <c r="P149" s="103"/>
      <c r="Q149" s="103"/>
      <c r="R149" s="103"/>
      <c r="S149" s="103"/>
      <c r="T149" s="103"/>
      <c r="U149" s="104">
        <f t="shared" si="60"/>
        <v>0</v>
      </c>
      <c r="V149" s="100"/>
      <c r="W149" s="101"/>
    </row>
    <row r="150" spans="2:23" ht="18" customHeight="1" x14ac:dyDescent="0.4">
      <c r="B150" s="98"/>
      <c r="C150" s="99"/>
      <c r="D150" s="99"/>
      <c r="E150" s="99"/>
      <c r="F150" s="99"/>
      <c r="G150" s="99"/>
      <c r="H150" s="99"/>
      <c r="I150" s="99"/>
      <c r="J150" s="100"/>
      <c r="K150" s="100"/>
      <c r="L150" s="101"/>
      <c r="M150" s="102"/>
      <c r="N150" s="103"/>
      <c r="O150" s="103"/>
      <c r="P150" s="103"/>
      <c r="Q150" s="103"/>
      <c r="R150" s="103"/>
      <c r="S150" s="103"/>
      <c r="T150" s="103"/>
      <c r="U150" s="104">
        <f t="shared" si="60"/>
        <v>0</v>
      </c>
      <c r="V150" s="100"/>
      <c r="W150" s="101"/>
    </row>
    <row r="151" spans="2:23" ht="18" customHeight="1" x14ac:dyDescent="0.4">
      <c r="B151" s="98"/>
      <c r="C151" s="99"/>
      <c r="D151" s="99"/>
      <c r="E151" s="99"/>
      <c r="F151" s="99"/>
      <c r="G151" s="99"/>
      <c r="H151" s="99"/>
      <c r="I151" s="99"/>
      <c r="J151" s="100"/>
      <c r="K151" s="100"/>
      <c r="L151" s="101"/>
      <c r="M151" s="102"/>
      <c r="N151" s="103"/>
      <c r="O151" s="103"/>
      <c r="P151" s="103"/>
      <c r="Q151" s="103"/>
      <c r="R151" s="103"/>
      <c r="S151" s="103"/>
      <c r="T151" s="103"/>
      <c r="U151" s="104">
        <f t="shared" si="60"/>
        <v>0</v>
      </c>
      <c r="V151" s="100"/>
      <c r="W151" s="101"/>
    </row>
    <row r="152" spans="2:23" ht="18" customHeight="1" x14ac:dyDescent="0.4">
      <c r="B152" s="98"/>
      <c r="C152" s="99"/>
      <c r="D152" s="99"/>
      <c r="E152" s="99"/>
      <c r="F152" s="99"/>
      <c r="G152" s="99"/>
      <c r="H152" s="99"/>
      <c r="I152" s="99"/>
      <c r="J152" s="100"/>
      <c r="K152" s="100"/>
      <c r="L152" s="101"/>
      <c r="M152" s="102"/>
      <c r="N152" s="103"/>
      <c r="O152" s="103"/>
      <c r="P152" s="103"/>
      <c r="Q152" s="103"/>
      <c r="R152" s="103"/>
      <c r="S152" s="103"/>
      <c r="T152" s="103"/>
      <c r="U152" s="104">
        <f t="shared" si="60"/>
        <v>0</v>
      </c>
      <c r="V152" s="100"/>
      <c r="W152" s="101"/>
    </row>
    <row r="153" spans="2:23" ht="18" customHeight="1" x14ac:dyDescent="0.4">
      <c r="B153" s="98"/>
      <c r="C153" s="99"/>
      <c r="D153" s="99"/>
      <c r="E153" s="99"/>
      <c r="F153" s="99"/>
      <c r="G153" s="99"/>
      <c r="H153" s="99"/>
      <c r="I153" s="99"/>
      <c r="J153" s="100"/>
      <c r="K153" s="100"/>
      <c r="L153" s="101"/>
      <c r="M153" s="102"/>
      <c r="N153" s="103"/>
      <c r="O153" s="103"/>
      <c r="P153" s="103"/>
      <c r="Q153" s="103"/>
      <c r="R153" s="103"/>
      <c r="S153" s="103"/>
      <c r="T153" s="103"/>
      <c r="U153" s="104">
        <f t="shared" si="60"/>
        <v>0</v>
      </c>
      <c r="V153" s="100"/>
      <c r="W153" s="101"/>
    </row>
    <row r="154" spans="2:23" ht="18" customHeight="1" x14ac:dyDescent="0.4">
      <c r="B154" s="98"/>
      <c r="C154" s="99"/>
      <c r="D154" s="99"/>
      <c r="E154" s="99"/>
      <c r="F154" s="99"/>
      <c r="G154" s="99"/>
      <c r="H154" s="99"/>
      <c r="I154" s="99"/>
      <c r="J154" s="100"/>
      <c r="K154" s="100"/>
      <c r="L154" s="101"/>
      <c r="M154" s="102"/>
      <c r="N154" s="103"/>
      <c r="O154" s="103"/>
      <c r="P154" s="103"/>
      <c r="Q154" s="103"/>
      <c r="R154" s="103"/>
      <c r="S154" s="103"/>
      <c r="T154" s="103"/>
      <c r="U154" s="104">
        <f t="shared" si="60"/>
        <v>0</v>
      </c>
      <c r="V154" s="100"/>
      <c r="W154" s="101"/>
    </row>
    <row r="155" spans="2:23" ht="18" customHeight="1" x14ac:dyDescent="0.4">
      <c r="B155" s="98"/>
      <c r="C155" s="99"/>
      <c r="D155" s="99"/>
      <c r="E155" s="99"/>
      <c r="F155" s="99"/>
      <c r="G155" s="99"/>
      <c r="H155" s="99"/>
      <c r="I155" s="99"/>
      <c r="J155" s="100"/>
      <c r="K155" s="100"/>
      <c r="L155" s="101"/>
      <c r="M155" s="102"/>
      <c r="N155" s="103"/>
      <c r="O155" s="103"/>
      <c r="P155" s="103"/>
      <c r="Q155" s="103"/>
      <c r="R155" s="103"/>
      <c r="S155" s="103"/>
      <c r="T155" s="103"/>
      <c r="U155" s="104">
        <f t="shared" si="60"/>
        <v>0</v>
      </c>
      <c r="V155" s="100"/>
      <c r="W155" s="101"/>
    </row>
    <row r="156" spans="2:23" ht="18" customHeight="1" x14ac:dyDescent="0.4">
      <c r="B156" s="98"/>
      <c r="C156" s="99"/>
      <c r="D156" s="99"/>
      <c r="E156" s="99"/>
      <c r="F156" s="99"/>
      <c r="G156" s="99"/>
      <c r="H156" s="99"/>
      <c r="I156" s="99"/>
      <c r="J156" s="100"/>
      <c r="K156" s="100"/>
      <c r="L156" s="101"/>
      <c r="M156" s="102"/>
      <c r="N156" s="103"/>
      <c r="O156" s="103"/>
      <c r="P156" s="103"/>
      <c r="Q156" s="103"/>
      <c r="R156" s="103"/>
      <c r="S156" s="103"/>
      <c r="T156" s="103"/>
      <c r="U156" s="104">
        <f t="shared" si="60"/>
        <v>0</v>
      </c>
      <c r="V156" s="100"/>
      <c r="W156" s="101"/>
    </row>
    <row r="157" spans="2:23" ht="18" customHeight="1" x14ac:dyDescent="0.4">
      <c r="B157" s="105"/>
      <c r="C157" s="106"/>
      <c r="D157" s="106"/>
      <c r="E157" s="106"/>
      <c r="F157" s="106"/>
      <c r="G157" s="106"/>
      <c r="H157" s="106"/>
      <c r="I157" s="106"/>
      <c r="J157" s="107"/>
      <c r="K157" s="107"/>
      <c r="L157" s="108"/>
      <c r="M157" s="109"/>
      <c r="N157" s="110"/>
      <c r="O157" s="110"/>
      <c r="P157" s="110"/>
      <c r="Q157" s="110"/>
      <c r="R157" s="110"/>
      <c r="S157" s="110"/>
      <c r="T157" s="110"/>
      <c r="U157" s="111">
        <f t="shared" si="60"/>
        <v>0</v>
      </c>
      <c r="V157" s="107"/>
      <c r="W157" s="108"/>
    </row>
    <row r="158" spans="2:23" ht="18" customHeight="1" x14ac:dyDescent="0.4">
      <c r="B158" s="86"/>
      <c r="C158" s="87"/>
      <c r="D158" s="87"/>
      <c r="E158" s="87"/>
      <c r="F158" s="87"/>
      <c r="G158" s="87"/>
      <c r="H158" s="87"/>
      <c r="I158" s="87"/>
      <c r="J158" s="88" t="s">
        <v>105</v>
      </c>
      <c r="K158" s="87"/>
      <c r="L158" s="89"/>
      <c r="M158" s="90">
        <f>B158</f>
        <v>0</v>
      </c>
      <c r="N158" s="87"/>
      <c r="O158" s="87"/>
      <c r="P158" s="87"/>
      <c r="Q158" s="87"/>
      <c r="R158" s="87"/>
      <c r="S158" s="87"/>
      <c r="T158" s="87"/>
      <c r="U158" s="88" t="s">
        <v>105</v>
      </c>
      <c r="V158" s="87"/>
      <c r="W158" s="89"/>
    </row>
    <row r="159" spans="2:23" ht="18" customHeight="1" x14ac:dyDescent="0.4">
      <c r="B159" s="95"/>
      <c r="C159" s="96"/>
      <c r="D159" s="96"/>
      <c r="E159" s="96"/>
      <c r="F159" s="96"/>
      <c r="G159" s="96"/>
      <c r="H159" s="96"/>
      <c r="I159" s="96"/>
      <c r="J159" s="93"/>
      <c r="K159" s="93"/>
      <c r="L159" s="94"/>
      <c r="M159" s="95"/>
      <c r="N159" s="96"/>
      <c r="O159" s="96"/>
      <c r="P159" s="96"/>
      <c r="Q159" s="96"/>
      <c r="R159" s="96"/>
      <c r="S159" s="96"/>
      <c r="T159" s="96"/>
      <c r="U159" s="97">
        <f t="shared" ref="U159:U168" si="61">J159</f>
        <v>0</v>
      </c>
      <c r="V159" s="93"/>
      <c r="W159" s="94"/>
    </row>
    <row r="160" spans="2:23" ht="18" customHeight="1" x14ac:dyDescent="0.4">
      <c r="B160" s="102"/>
      <c r="C160" s="103"/>
      <c r="D160" s="103"/>
      <c r="E160" s="103"/>
      <c r="F160" s="103"/>
      <c r="G160" s="103"/>
      <c r="H160" s="103"/>
      <c r="I160" s="103"/>
      <c r="J160" s="100"/>
      <c r="K160" s="100"/>
      <c r="L160" s="101"/>
      <c r="M160" s="102"/>
      <c r="N160" s="103"/>
      <c r="O160" s="103"/>
      <c r="P160" s="103"/>
      <c r="Q160" s="103"/>
      <c r="R160" s="103"/>
      <c r="S160" s="103"/>
      <c r="T160" s="103"/>
      <c r="U160" s="104">
        <f t="shared" si="61"/>
        <v>0</v>
      </c>
      <c r="V160" s="100"/>
      <c r="W160" s="101"/>
    </row>
    <row r="161" spans="2:23" ht="18" customHeight="1" x14ac:dyDescent="0.4">
      <c r="B161" s="102"/>
      <c r="C161" s="103"/>
      <c r="D161" s="103"/>
      <c r="E161" s="103"/>
      <c r="F161" s="103"/>
      <c r="G161" s="103"/>
      <c r="H161" s="103"/>
      <c r="I161" s="103"/>
      <c r="J161" s="100"/>
      <c r="K161" s="100"/>
      <c r="L161" s="101"/>
      <c r="M161" s="102"/>
      <c r="N161" s="103"/>
      <c r="O161" s="103"/>
      <c r="P161" s="103"/>
      <c r="Q161" s="103"/>
      <c r="R161" s="103"/>
      <c r="S161" s="103"/>
      <c r="T161" s="103"/>
      <c r="U161" s="104">
        <f t="shared" si="61"/>
        <v>0</v>
      </c>
      <c r="V161" s="100"/>
      <c r="W161" s="101"/>
    </row>
    <row r="162" spans="2:23" ht="18" customHeight="1" x14ac:dyDescent="0.4">
      <c r="B162" s="102"/>
      <c r="C162" s="103"/>
      <c r="D162" s="103"/>
      <c r="E162" s="103"/>
      <c r="F162" s="103"/>
      <c r="G162" s="103"/>
      <c r="H162" s="103"/>
      <c r="I162" s="103"/>
      <c r="J162" s="100"/>
      <c r="K162" s="100"/>
      <c r="L162" s="101"/>
      <c r="M162" s="102"/>
      <c r="N162" s="103"/>
      <c r="O162" s="103"/>
      <c r="P162" s="103"/>
      <c r="Q162" s="103"/>
      <c r="R162" s="103"/>
      <c r="S162" s="103"/>
      <c r="T162" s="103"/>
      <c r="U162" s="104">
        <f t="shared" si="61"/>
        <v>0</v>
      </c>
      <c r="V162" s="100"/>
      <c r="W162" s="101"/>
    </row>
    <row r="163" spans="2:23" ht="18" customHeight="1" x14ac:dyDescent="0.4">
      <c r="B163" s="102"/>
      <c r="C163" s="103"/>
      <c r="D163" s="103"/>
      <c r="E163" s="103"/>
      <c r="F163" s="103"/>
      <c r="G163" s="103"/>
      <c r="H163" s="103"/>
      <c r="I163" s="103"/>
      <c r="J163" s="100"/>
      <c r="K163" s="100"/>
      <c r="L163" s="101"/>
      <c r="M163" s="102"/>
      <c r="N163" s="103"/>
      <c r="O163" s="103"/>
      <c r="P163" s="103"/>
      <c r="Q163" s="103"/>
      <c r="R163" s="103"/>
      <c r="S163" s="103"/>
      <c r="T163" s="103"/>
      <c r="U163" s="104">
        <f t="shared" si="61"/>
        <v>0</v>
      </c>
      <c r="V163" s="100"/>
      <c r="W163" s="101"/>
    </row>
    <row r="164" spans="2:23" ht="18" customHeight="1" x14ac:dyDescent="0.4">
      <c r="B164" s="102"/>
      <c r="C164" s="103"/>
      <c r="D164" s="103"/>
      <c r="E164" s="103"/>
      <c r="F164" s="103"/>
      <c r="G164" s="103"/>
      <c r="H164" s="103"/>
      <c r="I164" s="103"/>
      <c r="J164" s="100"/>
      <c r="K164" s="100"/>
      <c r="L164" s="101"/>
      <c r="M164" s="102"/>
      <c r="N164" s="103"/>
      <c r="O164" s="103"/>
      <c r="P164" s="103"/>
      <c r="Q164" s="103"/>
      <c r="R164" s="103"/>
      <c r="S164" s="103"/>
      <c r="T164" s="103"/>
      <c r="U164" s="104">
        <f t="shared" si="61"/>
        <v>0</v>
      </c>
      <c r="V164" s="100"/>
      <c r="W164" s="101"/>
    </row>
    <row r="165" spans="2:23" ht="18" customHeight="1" x14ac:dyDescent="0.4">
      <c r="B165" s="102"/>
      <c r="C165" s="103"/>
      <c r="D165" s="103"/>
      <c r="E165" s="103"/>
      <c r="F165" s="103"/>
      <c r="G165" s="103"/>
      <c r="H165" s="103"/>
      <c r="I165" s="103"/>
      <c r="J165" s="100"/>
      <c r="K165" s="100"/>
      <c r="L165" s="101"/>
      <c r="M165" s="102"/>
      <c r="N165" s="103"/>
      <c r="O165" s="103"/>
      <c r="P165" s="103"/>
      <c r="Q165" s="103"/>
      <c r="R165" s="103"/>
      <c r="S165" s="103"/>
      <c r="T165" s="103"/>
      <c r="U165" s="104">
        <f t="shared" si="61"/>
        <v>0</v>
      </c>
      <c r="V165" s="100"/>
      <c r="W165" s="101"/>
    </row>
    <row r="166" spans="2:23" ht="18" customHeight="1" x14ac:dyDescent="0.4">
      <c r="B166" s="102"/>
      <c r="C166" s="103"/>
      <c r="D166" s="103"/>
      <c r="E166" s="103"/>
      <c r="F166" s="103"/>
      <c r="G166" s="103"/>
      <c r="H166" s="103"/>
      <c r="I166" s="103"/>
      <c r="J166" s="100"/>
      <c r="K166" s="100"/>
      <c r="L166" s="101"/>
      <c r="M166" s="102"/>
      <c r="N166" s="103"/>
      <c r="O166" s="103"/>
      <c r="P166" s="103"/>
      <c r="Q166" s="103"/>
      <c r="R166" s="103"/>
      <c r="S166" s="103"/>
      <c r="T166" s="103"/>
      <c r="U166" s="104">
        <f t="shared" si="61"/>
        <v>0</v>
      </c>
      <c r="V166" s="100"/>
      <c r="W166" s="101"/>
    </row>
    <row r="167" spans="2:23" ht="18" customHeight="1" x14ac:dyDescent="0.4">
      <c r="B167" s="102"/>
      <c r="C167" s="103"/>
      <c r="D167" s="103"/>
      <c r="E167" s="103"/>
      <c r="F167" s="103"/>
      <c r="G167" s="103"/>
      <c r="H167" s="103"/>
      <c r="I167" s="103"/>
      <c r="J167" s="100"/>
      <c r="K167" s="100"/>
      <c r="L167" s="101"/>
      <c r="M167" s="102"/>
      <c r="N167" s="103"/>
      <c r="O167" s="103"/>
      <c r="P167" s="103"/>
      <c r="Q167" s="103"/>
      <c r="R167" s="103"/>
      <c r="S167" s="103"/>
      <c r="T167" s="103"/>
      <c r="U167" s="104">
        <f t="shared" si="61"/>
        <v>0</v>
      </c>
      <c r="V167" s="100"/>
      <c r="W167" s="101"/>
    </row>
    <row r="168" spans="2:23" ht="18" customHeight="1" x14ac:dyDescent="0.4">
      <c r="B168" s="109"/>
      <c r="C168" s="110"/>
      <c r="D168" s="110"/>
      <c r="E168" s="110"/>
      <c r="F168" s="110"/>
      <c r="G168" s="110"/>
      <c r="H168" s="110"/>
      <c r="I168" s="110"/>
      <c r="J168" s="107"/>
      <c r="K168" s="107"/>
      <c r="L168" s="108"/>
      <c r="M168" s="109"/>
      <c r="N168" s="110"/>
      <c r="O168" s="110"/>
      <c r="P168" s="110"/>
      <c r="Q168" s="110"/>
      <c r="R168" s="110"/>
      <c r="S168" s="110"/>
      <c r="T168" s="110"/>
      <c r="U168" s="111">
        <f t="shared" si="61"/>
        <v>0</v>
      </c>
      <c r="V168" s="107"/>
      <c r="W168" s="108"/>
    </row>
    <row r="169" spans="2:23" ht="18" customHeight="1" x14ac:dyDescent="0.4">
      <c r="B169" s="86"/>
      <c r="C169" s="87"/>
      <c r="D169" s="87"/>
      <c r="E169" s="87"/>
      <c r="F169" s="87"/>
      <c r="G169" s="87"/>
      <c r="H169" s="87"/>
      <c r="I169" s="87"/>
      <c r="J169" s="88" t="s">
        <v>105</v>
      </c>
      <c r="K169" s="87"/>
      <c r="L169" s="89"/>
      <c r="M169" s="90">
        <f>B169</f>
        <v>0</v>
      </c>
      <c r="N169" s="87"/>
      <c r="O169" s="87"/>
      <c r="P169" s="87"/>
      <c r="Q169" s="87"/>
      <c r="R169" s="87"/>
      <c r="S169" s="87"/>
      <c r="T169" s="87"/>
      <c r="U169" s="88" t="s">
        <v>105</v>
      </c>
      <c r="V169" s="87"/>
      <c r="W169" s="89"/>
    </row>
    <row r="170" spans="2:23" ht="18" customHeight="1" x14ac:dyDescent="0.4">
      <c r="B170" s="95"/>
      <c r="C170" s="96"/>
      <c r="D170" s="96"/>
      <c r="E170" s="96"/>
      <c r="F170" s="96"/>
      <c r="G170" s="96"/>
      <c r="H170" s="96"/>
      <c r="I170" s="96"/>
      <c r="J170" s="93"/>
      <c r="K170" s="93"/>
      <c r="L170" s="94"/>
      <c r="M170" s="95"/>
      <c r="N170" s="96"/>
      <c r="O170" s="96"/>
      <c r="P170" s="96"/>
      <c r="Q170" s="96"/>
      <c r="R170" s="96"/>
      <c r="S170" s="96"/>
      <c r="T170" s="96"/>
      <c r="U170" s="97">
        <f t="shared" ref="U170:U179" si="62">J170</f>
        <v>0</v>
      </c>
      <c r="V170" s="93"/>
      <c r="W170" s="94"/>
    </row>
    <row r="171" spans="2:23" ht="18" customHeight="1" x14ac:dyDescent="0.4">
      <c r="B171" s="102"/>
      <c r="C171" s="103"/>
      <c r="D171" s="103"/>
      <c r="E171" s="103"/>
      <c r="F171" s="103"/>
      <c r="G171" s="103"/>
      <c r="H171" s="103"/>
      <c r="I171" s="103"/>
      <c r="J171" s="100"/>
      <c r="K171" s="100"/>
      <c r="L171" s="101"/>
      <c r="M171" s="102"/>
      <c r="N171" s="103"/>
      <c r="O171" s="103"/>
      <c r="P171" s="103"/>
      <c r="Q171" s="103"/>
      <c r="R171" s="103"/>
      <c r="S171" s="103"/>
      <c r="T171" s="103"/>
      <c r="U171" s="104">
        <f t="shared" si="62"/>
        <v>0</v>
      </c>
      <c r="V171" s="100"/>
      <c r="W171" s="101"/>
    </row>
    <row r="172" spans="2:23" ht="18" customHeight="1" x14ac:dyDescent="0.4">
      <c r="B172" s="102"/>
      <c r="C172" s="103"/>
      <c r="D172" s="103"/>
      <c r="E172" s="103"/>
      <c r="F172" s="103"/>
      <c r="G172" s="103"/>
      <c r="H172" s="103"/>
      <c r="I172" s="103"/>
      <c r="J172" s="100"/>
      <c r="K172" s="100"/>
      <c r="L172" s="101"/>
      <c r="M172" s="102"/>
      <c r="N172" s="103"/>
      <c r="O172" s="103"/>
      <c r="P172" s="103"/>
      <c r="Q172" s="103"/>
      <c r="R172" s="103"/>
      <c r="S172" s="103"/>
      <c r="T172" s="103"/>
      <c r="U172" s="104">
        <f t="shared" si="62"/>
        <v>0</v>
      </c>
      <c r="V172" s="100"/>
      <c r="W172" s="101"/>
    </row>
    <row r="173" spans="2:23" ht="18" customHeight="1" x14ac:dyDescent="0.4">
      <c r="B173" s="102"/>
      <c r="C173" s="103"/>
      <c r="D173" s="103"/>
      <c r="E173" s="103"/>
      <c r="F173" s="103"/>
      <c r="G173" s="103"/>
      <c r="H173" s="103"/>
      <c r="I173" s="103"/>
      <c r="J173" s="100"/>
      <c r="K173" s="100"/>
      <c r="L173" s="101"/>
      <c r="M173" s="102"/>
      <c r="N173" s="103"/>
      <c r="O173" s="103"/>
      <c r="P173" s="103"/>
      <c r="Q173" s="103"/>
      <c r="R173" s="103"/>
      <c r="S173" s="103"/>
      <c r="T173" s="103"/>
      <c r="U173" s="104">
        <f t="shared" si="62"/>
        <v>0</v>
      </c>
      <c r="V173" s="100"/>
      <c r="W173" s="101"/>
    </row>
    <row r="174" spans="2:23" ht="18" customHeight="1" x14ac:dyDescent="0.4">
      <c r="B174" s="102"/>
      <c r="C174" s="103"/>
      <c r="D174" s="103"/>
      <c r="E174" s="103"/>
      <c r="F174" s="103"/>
      <c r="G174" s="103"/>
      <c r="H174" s="103"/>
      <c r="I174" s="103"/>
      <c r="J174" s="100"/>
      <c r="K174" s="100"/>
      <c r="L174" s="101"/>
      <c r="M174" s="102"/>
      <c r="N174" s="103"/>
      <c r="O174" s="103"/>
      <c r="P174" s="103"/>
      <c r="Q174" s="103"/>
      <c r="R174" s="103"/>
      <c r="S174" s="103"/>
      <c r="T174" s="103"/>
      <c r="U174" s="104">
        <f t="shared" si="62"/>
        <v>0</v>
      </c>
      <c r="V174" s="100"/>
      <c r="W174" s="101"/>
    </row>
    <row r="175" spans="2:23" ht="18" customHeight="1" x14ac:dyDescent="0.4">
      <c r="B175" s="102"/>
      <c r="C175" s="103"/>
      <c r="D175" s="103"/>
      <c r="E175" s="103"/>
      <c r="F175" s="103"/>
      <c r="G175" s="103"/>
      <c r="H175" s="103"/>
      <c r="I175" s="103"/>
      <c r="J175" s="100"/>
      <c r="K175" s="100"/>
      <c r="L175" s="101"/>
      <c r="M175" s="102"/>
      <c r="N175" s="103"/>
      <c r="O175" s="103"/>
      <c r="P175" s="103"/>
      <c r="Q175" s="103"/>
      <c r="R175" s="103"/>
      <c r="S175" s="103"/>
      <c r="T175" s="103"/>
      <c r="U175" s="104">
        <f t="shared" si="62"/>
        <v>0</v>
      </c>
      <c r="V175" s="100"/>
      <c r="W175" s="101"/>
    </row>
    <row r="176" spans="2:23" ht="18" customHeight="1" x14ac:dyDescent="0.4">
      <c r="B176" s="102"/>
      <c r="C176" s="103"/>
      <c r="D176" s="103"/>
      <c r="E176" s="103"/>
      <c r="F176" s="103"/>
      <c r="G176" s="103"/>
      <c r="H176" s="103"/>
      <c r="I176" s="103"/>
      <c r="J176" s="100"/>
      <c r="K176" s="100"/>
      <c r="L176" s="101"/>
      <c r="M176" s="102"/>
      <c r="N176" s="103"/>
      <c r="O176" s="103"/>
      <c r="P176" s="103"/>
      <c r="Q176" s="103"/>
      <c r="R176" s="103"/>
      <c r="S176" s="103"/>
      <c r="T176" s="103"/>
      <c r="U176" s="104">
        <f t="shared" si="62"/>
        <v>0</v>
      </c>
      <c r="V176" s="100"/>
      <c r="W176" s="101"/>
    </row>
    <row r="177" spans="2:23" ht="18" customHeight="1" x14ac:dyDescent="0.4">
      <c r="B177" s="102"/>
      <c r="C177" s="103"/>
      <c r="D177" s="103"/>
      <c r="E177" s="103"/>
      <c r="F177" s="103"/>
      <c r="G177" s="103"/>
      <c r="H177" s="103"/>
      <c r="I177" s="103"/>
      <c r="J177" s="100"/>
      <c r="K177" s="100"/>
      <c r="L177" s="101"/>
      <c r="M177" s="102"/>
      <c r="N177" s="103"/>
      <c r="O177" s="103"/>
      <c r="P177" s="103"/>
      <c r="Q177" s="103"/>
      <c r="R177" s="103"/>
      <c r="S177" s="103"/>
      <c r="T177" s="103"/>
      <c r="U177" s="104">
        <f t="shared" si="62"/>
        <v>0</v>
      </c>
      <c r="V177" s="100"/>
      <c r="W177" s="101"/>
    </row>
    <row r="178" spans="2:23" ht="18" customHeight="1" x14ac:dyDescent="0.4">
      <c r="B178" s="102"/>
      <c r="C178" s="103"/>
      <c r="D178" s="103"/>
      <c r="E178" s="103"/>
      <c r="F178" s="103"/>
      <c r="G178" s="103"/>
      <c r="H178" s="103"/>
      <c r="I178" s="103"/>
      <c r="J178" s="100"/>
      <c r="K178" s="100"/>
      <c r="L178" s="101"/>
      <c r="M178" s="102"/>
      <c r="N178" s="103"/>
      <c r="O178" s="103"/>
      <c r="P178" s="103"/>
      <c r="Q178" s="103"/>
      <c r="R178" s="103"/>
      <c r="S178" s="103"/>
      <c r="T178" s="103"/>
      <c r="U178" s="104">
        <f t="shared" si="62"/>
        <v>0</v>
      </c>
      <c r="V178" s="100"/>
      <c r="W178" s="101"/>
    </row>
    <row r="179" spans="2:23" ht="18" customHeight="1" x14ac:dyDescent="0.4">
      <c r="B179" s="109"/>
      <c r="C179" s="110"/>
      <c r="D179" s="110"/>
      <c r="E179" s="110"/>
      <c r="F179" s="110"/>
      <c r="G179" s="110"/>
      <c r="H179" s="110"/>
      <c r="I179" s="110"/>
      <c r="J179" s="107"/>
      <c r="K179" s="107"/>
      <c r="L179" s="108"/>
      <c r="M179" s="109"/>
      <c r="N179" s="110"/>
      <c r="O179" s="110"/>
      <c r="P179" s="110"/>
      <c r="Q179" s="110"/>
      <c r="R179" s="110"/>
      <c r="S179" s="110"/>
      <c r="T179" s="110"/>
      <c r="U179" s="111">
        <f t="shared" si="62"/>
        <v>0</v>
      </c>
      <c r="V179" s="107"/>
      <c r="W179" s="108"/>
    </row>
    <row r="180" spans="2:23" ht="18" customHeight="1" x14ac:dyDescent="0.4">
      <c r="B180" s="86"/>
      <c r="C180" s="87"/>
      <c r="D180" s="87"/>
      <c r="E180" s="87"/>
      <c r="F180" s="87"/>
      <c r="G180" s="87"/>
      <c r="H180" s="87"/>
      <c r="I180" s="87"/>
      <c r="J180" s="88" t="s">
        <v>105</v>
      </c>
      <c r="K180" s="87"/>
      <c r="L180" s="89"/>
      <c r="M180" s="90">
        <f>B180</f>
        <v>0</v>
      </c>
      <c r="N180" s="87"/>
      <c r="O180" s="87"/>
      <c r="P180" s="87"/>
      <c r="Q180" s="87"/>
      <c r="R180" s="87"/>
      <c r="S180" s="87"/>
      <c r="T180" s="87"/>
      <c r="U180" s="88" t="s">
        <v>105</v>
      </c>
      <c r="V180" s="87"/>
      <c r="W180" s="89"/>
    </row>
    <row r="181" spans="2:23" ht="18" customHeight="1" x14ac:dyDescent="0.4">
      <c r="B181" s="95"/>
      <c r="C181" s="96"/>
      <c r="D181" s="96"/>
      <c r="E181" s="96"/>
      <c r="F181" s="96"/>
      <c r="G181" s="96"/>
      <c r="H181" s="96"/>
      <c r="I181" s="96"/>
      <c r="J181" s="93"/>
      <c r="K181" s="93"/>
      <c r="L181" s="94"/>
      <c r="M181" s="95"/>
      <c r="N181" s="96"/>
      <c r="O181" s="96"/>
      <c r="P181" s="96"/>
      <c r="Q181" s="96"/>
      <c r="R181" s="96"/>
      <c r="S181" s="96"/>
      <c r="T181" s="96"/>
      <c r="U181" s="97">
        <f t="shared" ref="U181:U190" si="63">J181</f>
        <v>0</v>
      </c>
      <c r="V181" s="93"/>
      <c r="W181" s="94"/>
    </row>
    <row r="182" spans="2:23" ht="18" customHeight="1" x14ac:dyDescent="0.4">
      <c r="B182" s="102"/>
      <c r="C182" s="103"/>
      <c r="D182" s="103"/>
      <c r="E182" s="103"/>
      <c r="F182" s="103"/>
      <c r="G182" s="103"/>
      <c r="H182" s="103"/>
      <c r="I182" s="103"/>
      <c r="J182" s="100"/>
      <c r="K182" s="100"/>
      <c r="L182" s="101"/>
      <c r="M182" s="102"/>
      <c r="N182" s="103"/>
      <c r="O182" s="103"/>
      <c r="P182" s="103"/>
      <c r="Q182" s="103"/>
      <c r="R182" s="103"/>
      <c r="S182" s="103"/>
      <c r="T182" s="103"/>
      <c r="U182" s="104">
        <f t="shared" si="63"/>
        <v>0</v>
      </c>
      <c r="V182" s="100"/>
      <c r="W182" s="101"/>
    </row>
    <row r="183" spans="2:23" ht="18" customHeight="1" x14ac:dyDescent="0.4">
      <c r="B183" s="102"/>
      <c r="C183" s="103"/>
      <c r="D183" s="103"/>
      <c r="E183" s="103"/>
      <c r="F183" s="103"/>
      <c r="G183" s="103"/>
      <c r="H183" s="103"/>
      <c r="I183" s="103"/>
      <c r="J183" s="100"/>
      <c r="K183" s="100"/>
      <c r="L183" s="101"/>
      <c r="M183" s="102"/>
      <c r="N183" s="103"/>
      <c r="O183" s="103"/>
      <c r="P183" s="103"/>
      <c r="Q183" s="103"/>
      <c r="R183" s="103"/>
      <c r="S183" s="103"/>
      <c r="T183" s="103"/>
      <c r="U183" s="104">
        <f t="shared" si="63"/>
        <v>0</v>
      </c>
      <c r="V183" s="100"/>
      <c r="W183" s="101"/>
    </row>
    <row r="184" spans="2:23" ht="18" customHeight="1" x14ac:dyDescent="0.4">
      <c r="B184" s="102"/>
      <c r="C184" s="103"/>
      <c r="D184" s="103"/>
      <c r="E184" s="103"/>
      <c r="F184" s="103"/>
      <c r="G184" s="103"/>
      <c r="H184" s="103"/>
      <c r="I184" s="103"/>
      <c r="J184" s="100"/>
      <c r="K184" s="100"/>
      <c r="L184" s="101"/>
      <c r="M184" s="102"/>
      <c r="N184" s="103"/>
      <c r="O184" s="103"/>
      <c r="P184" s="103"/>
      <c r="Q184" s="103"/>
      <c r="R184" s="103"/>
      <c r="S184" s="103"/>
      <c r="T184" s="103"/>
      <c r="U184" s="104">
        <f t="shared" si="63"/>
        <v>0</v>
      </c>
      <c r="V184" s="100"/>
      <c r="W184" s="101"/>
    </row>
    <row r="185" spans="2:23" ht="18" customHeight="1" x14ac:dyDescent="0.4">
      <c r="B185" s="102"/>
      <c r="C185" s="103"/>
      <c r="D185" s="103"/>
      <c r="E185" s="103"/>
      <c r="F185" s="103"/>
      <c r="G185" s="103"/>
      <c r="H185" s="103"/>
      <c r="I185" s="103"/>
      <c r="J185" s="100"/>
      <c r="K185" s="100"/>
      <c r="L185" s="101"/>
      <c r="M185" s="102"/>
      <c r="N185" s="103"/>
      <c r="O185" s="103"/>
      <c r="P185" s="103"/>
      <c r="Q185" s="103"/>
      <c r="R185" s="103"/>
      <c r="S185" s="103"/>
      <c r="T185" s="103"/>
      <c r="U185" s="104">
        <f t="shared" si="63"/>
        <v>0</v>
      </c>
      <c r="V185" s="100"/>
      <c r="W185" s="101"/>
    </row>
    <row r="186" spans="2:23" ht="18" customHeight="1" x14ac:dyDescent="0.4">
      <c r="B186" s="102"/>
      <c r="C186" s="103"/>
      <c r="D186" s="103"/>
      <c r="E186" s="103"/>
      <c r="F186" s="103"/>
      <c r="G186" s="103"/>
      <c r="H186" s="103"/>
      <c r="I186" s="103"/>
      <c r="J186" s="100"/>
      <c r="K186" s="100"/>
      <c r="L186" s="101"/>
      <c r="M186" s="102"/>
      <c r="N186" s="103"/>
      <c r="O186" s="103"/>
      <c r="P186" s="103"/>
      <c r="Q186" s="103"/>
      <c r="R186" s="103"/>
      <c r="S186" s="103"/>
      <c r="T186" s="103"/>
      <c r="U186" s="104">
        <f t="shared" si="63"/>
        <v>0</v>
      </c>
      <c r="V186" s="100"/>
      <c r="W186" s="101"/>
    </row>
    <row r="187" spans="2:23" ht="18" customHeight="1" x14ac:dyDescent="0.4">
      <c r="B187" s="102"/>
      <c r="C187" s="103"/>
      <c r="D187" s="103"/>
      <c r="E187" s="103"/>
      <c r="F187" s="103"/>
      <c r="G187" s="103"/>
      <c r="H187" s="103"/>
      <c r="I187" s="103"/>
      <c r="J187" s="100"/>
      <c r="K187" s="100"/>
      <c r="L187" s="101"/>
      <c r="M187" s="102"/>
      <c r="N187" s="103"/>
      <c r="O187" s="103"/>
      <c r="P187" s="103"/>
      <c r="Q187" s="103"/>
      <c r="R187" s="103"/>
      <c r="S187" s="103"/>
      <c r="T187" s="103"/>
      <c r="U187" s="104">
        <f t="shared" si="63"/>
        <v>0</v>
      </c>
      <c r="V187" s="100"/>
      <c r="W187" s="101"/>
    </row>
    <row r="188" spans="2:23" ht="18" customHeight="1" x14ac:dyDescent="0.4">
      <c r="B188" s="102"/>
      <c r="C188" s="103"/>
      <c r="D188" s="103"/>
      <c r="E188" s="103"/>
      <c r="F188" s="103"/>
      <c r="G188" s="103"/>
      <c r="H188" s="103"/>
      <c r="I188" s="103"/>
      <c r="J188" s="100"/>
      <c r="K188" s="100"/>
      <c r="L188" s="101"/>
      <c r="M188" s="102"/>
      <c r="N188" s="103"/>
      <c r="O188" s="103"/>
      <c r="P188" s="103"/>
      <c r="Q188" s="103"/>
      <c r="R188" s="103"/>
      <c r="S188" s="103"/>
      <c r="T188" s="103"/>
      <c r="U188" s="104">
        <f t="shared" si="63"/>
        <v>0</v>
      </c>
      <c r="V188" s="100"/>
      <c r="W188" s="101"/>
    </row>
    <row r="189" spans="2:23" ht="18" customHeight="1" x14ac:dyDescent="0.4">
      <c r="B189" s="102"/>
      <c r="C189" s="103"/>
      <c r="D189" s="103"/>
      <c r="E189" s="103"/>
      <c r="F189" s="103"/>
      <c r="G189" s="103"/>
      <c r="H189" s="103"/>
      <c r="I189" s="103"/>
      <c r="J189" s="100"/>
      <c r="K189" s="100"/>
      <c r="L189" s="101"/>
      <c r="M189" s="102"/>
      <c r="N189" s="103"/>
      <c r="O189" s="103"/>
      <c r="P189" s="103"/>
      <c r="Q189" s="103"/>
      <c r="R189" s="103"/>
      <c r="S189" s="103"/>
      <c r="T189" s="103"/>
      <c r="U189" s="104">
        <f t="shared" si="63"/>
        <v>0</v>
      </c>
      <c r="V189" s="100"/>
      <c r="W189" s="101"/>
    </row>
    <row r="190" spans="2:23" ht="18" customHeight="1" x14ac:dyDescent="0.4">
      <c r="B190" s="109"/>
      <c r="C190" s="110"/>
      <c r="D190" s="110"/>
      <c r="E190" s="110"/>
      <c r="F190" s="110"/>
      <c r="G190" s="110"/>
      <c r="H190" s="110"/>
      <c r="I190" s="110"/>
      <c r="J190" s="107"/>
      <c r="K190" s="107"/>
      <c r="L190" s="108"/>
      <c r="M190" s="109"/>
      <c r="N190" s="110"/>
      <c r="O190" s="110"/>
      <c r="P190" s="110"/>
      <c r="Q190" s="110"/>
      <c r="R190" s="110"/>
      <c r="S190" s="110"/>
      <c r="T190" s="110"/>
      <c r="U190" s="111">
        <f t="shared" si="63"/>
        <v>0</v>
      </c>
      <c r="V190" s="107"/>
      <c r="W190" s="108"/>
    </row>
    <row r="191" spans="2:23" ht="18" customHeight="1" x14ac:dyDescent="0.4">
      <c r="B191" s="86"/>
      <c r="C191" s="87"/>
      <c r="D191" s="87"/>
      <c r="E191" s="87"/>
      <c r="F191" s="87"/>
      <c r="G191" s="87"/>
      <c r="H191" s="87"/>
      <c r="I191" s="87"/>
      <c r="J191" s="88" t="s">
        <v>105</v>
      </c>
      <c r="K191" s="87"/>
      <c r="L191" s="89"/>
      <c r="M191" s="90">
        <f>B191</f>
        <v>0</v>
      </c>
      <c r="N191" s="87"/>
      <c r="O191" s="87"/>
      <c r="P191" s="87"/>
      <c r="Q191" s="87"/>
      <c r="R191" s="87"/>
      <c r="S191" s="87"/>
      <c r="T191" s="87"/>
      <c r="U191" s="88" t="s">
        <v>105</v>
      </c>
      <c r="V191" s="87"/>
      <c r="W191" s="89"/>
    </row>
    <row r="192" spans="2:23" ht="18" customHeight="1" x14ac:dyDescent="0.4">
      <c r="B192" s="95"/>
      <c r="C192" s="96"/>
      <c r="D192" s="96"/>
      <c r="E192" s="96"/>
      <c r="F192" s="96"/>
      <c r="G192" s="96"/>
      <c r="H192" s="96"/>
      <c r="I192" s="96"/>
      <c r="J192" s="93"/>
      <c r="K192" s="93"/>
      <c r="L192" s="94"/>
      <c r="M192" s="95"/>
      <c r="N192" s="96"/>
      <c r="O192" s="96"/>
      <c r="P192" s="96"/>
      <c r="Q192" s="96"/>
      <c r="R192" s="96"/>
      <c r="S192" s="96"/>
      <c r="T192" s="96"/>
      <c r="U192" s="97">
        <f t="shared" ref="U192:U201" si="64">J192</f>
        <v>0</v>
      </c>
      <c r="V192" s="93"/>
      <c r="W192" s="94"/>
    </row>
    <row r="193" spans="2:23" ht="18" customHeight="1" x14ac:dyDescent="0.4">
      <c r="B193" s="102"/>
      <c r="C193" s="103"/>
      <c r="D193" s="103"/>
      <c r="E193" s="103"/>
      <c r="F193" s="103"/>
      <c r="G193" s="103"/>
      <c r="H193" s="103"/>
      <c r="I193" s="103"/>
      <c r="J193" s="100"/>
      <c r="K193" s="100"/>
      <c r="L193" s="101"/>
      <c r="M193" s="102"/>
      <c r="N193" s="103"/>
      <c r="O193" s="103"/>
      <c r="P193" s="103"/>
      <c r="Q193" s="103"/>
      <c r="R193" s="103"/>
      <c r="S193" s="103"/>
      <c r="T193" s="103"/>
      <c r="U193" s="104">
        <f t="shared" si="64"/>
        <v>0</v>
      </c>
      <c r="V193" s="100"/>
      <c r="W193" s="101"/>
    </row>
    <row r="194" spans="2:23" ht="18" customHeight="1" x14ac:dyDescent="0.4">
      <c r="B194" s="102"/>
      <c r="C194" s="103"/>
      <c r="D194" s="103"/>
      <c r="E194" s="103"/>
      <c r="F194" s="103"/>
      <c r="G194" s="103"/>
      <c r="H194" s="103"/>
      <c r="I194" s="103"/>
      <c r="J194" s="100"/>
      <c r="K194" s="100"/>
      <c r="L194" s="101"/>
      <c r="M194" s="102"/>
      <c r="N194" s="103"/>
      <c r="O194" s="103"/>
      <c r="P194" s="103"/>
      <c r="Q194" s="103"/>
      <c r="R194" s="103"/>
      <c r="S194" s="103"/>
      <c r="T194" s="103"/>
      <c r="U194" s="104">
        <f t="shared" si="64"/>
        <v>0</v>
      </c>
      <c r="V194" s="100"/>
      <c r="W194" s="101"/>
    </row>
    <row r="195" spans="2:23" ht="18" customHeight="1" x14ac:dyDescent="0.4">
      <c r="B195" s="102"/>
      <c r="C195" s="103"/>
      <c r="D195" s="103"/>
      <c r="E195" s="103"/>
      <c r="F195" s="103"/>
      <c r="G195" s="103"/>
      <c r="H195" s="103"/>
      <c r="I195" s="103"/>
      <c r="J195" s="100"/>
      <c r="K195" s="100"/>
      <c r="L195" s="101"/>
      <c r="M195" s="102"/>
      <c r="N195" s="103"/>
      <c r="O195" s="103"/>
      <c r="P195" s="103"/>
      <c r="Q195" s="103"/>
      <c r="R195" s="103"/>
      <c r="S195" s="103"/>
      <c r="T195" s="103"/>
      <c r="U195" s="104">
        <f t="shared" si="64"/>
        <v>0</v>
      </c>
      <c r="V195" s="100"/>
      <c r="W195" s="101"/>
    </row>
    <row r="196" spans="2:23" ht="18" customHeight="1" x14ac:dyDescent="0.4">
      <c r="B196" s="102"/>
      <c r="C196" s="103"/>
      <c r="D196" s="103"/>
      <c r="E196" s="103"/>
      <c r="F196" s="103"/>
      <c r="G196" s="103"/>
      <c r="H196" s="103"/>
      <c r="I196" s="103"/>
      <c r="J196" s="100"/>
      <c r="K196" s="100"/>
      <c r="L196" s="101"/>
      <c r="M196" s="102"/>
      <c r="N196" s="103"/>
      <c r="O196" s="103"/>
      <c r="P196" s="103"/>
      <c r="Q196" s="103"/>
      <c r="R196" s="103"/>
      <c r="S196" s="103"/>
      <c r="T196" s="103"/>
      <c r="U196" s="104">
        <f t="shared" si="64"/>
        <v>0</v>
      </c>
      <c r="V196" s="100"/>
      <c r="W196" s="101"/>
    </row>
    <row r="197" spans="2:23" ht="18" customHeight="1" x14ac:dyDescent="0.4">
      <c r="B197" s="102"/>
      <c r="C197" s="103"/>
      <c r="D197" s="103"/>
      <c r="E197" s="103"/>
      <c r="F197" s="103"/>
      <c r="G197" s="103"/>
      <c r="H197" s="103"/>
      <c r="I197" s="103"/>
      <c r="J197" s="100"/>
      <c r="K197" s="100"/>
      <c r="L197" s="101"/>
      <c r="M197" s="102"/>
      <c r="N197" s="103"/>
      <c r="O197" s="103"/>
      <c r="P197" s="103"/>
      <c r="Q197" s="103"/>
      <c r="R197" s="103"/>
      <c r="S197" s="103"/>
      <c r="T197" s="103"/>
      <c r="U197" s="104">
        <f t="shared" si="64"/>
        <v>0</v>
      </c>
      <c r="V197" s="100"/>
      <c r="W197" s="101"/>
    </row>
    <row r="198" spans="2:23" ht="18" customHeight="1" x14ac:dyDescent="0.4">
      <c r="B198" s="102"/>
      <c r="C198" s="103"/>
      <c r="D198" s="103"/>
      <c r="E198" s="103"/>
      <c r="F198" s="103"/>
      <c r="G198" s="103"/>
      <c r="H198" s="103"/>
      <c r="I198" s="103"/>
      <c r="J198" s="100"/>
      <c r="K198" s="100"/>
      <c r="L198" s="101"/>
      <c r="M198" s="102"/>
      <c r="N198" s="103"/>
      <c r="O198" s="103"/>
      <c r="P198" s="103"/>
      <c r="Q198" s="103"/>
      <c r="R198" s="103"/>
      <c r="S198" s="103"/>
      <c r="T198" s="103"/>
      <c r="U198" s="104">
        <f t="shared" si="64"/>
        <v>0</v>
      </c>
      <c r="V198" s="100"/>
      <c r="W198" s="101"/>
    </row>
    <row r="199" spans="2:23" ht="18" customHeight="1" x14ac:dyDescent="0.4">
      <c r="B199" s="102"/>
      <c r="C199" s="103"/>
      <c r="D199" s="103"/>
      <c r="E199" s="103"/>
      <c r="F199" s="103"/>
      <c r="G199" s="103"/>
      <c r="H199" s="103"/>
      <c r="I199" s="103"/>
      <c r="J199" s="100"/>
      <c r="K199" s="100"/>
      <c r="L199" s="101"/>
      <c r="M199" s="102"/>
      <c r="N199" s="103"/>
      <c r="O199" s="103"/>
      <c r="P199" s="103"/>
      <c r="Q199" s="103"/>
      <c r="R199" s="103"/>
      <c r="S199" s="103"/>
      <c r="T199" s="103"/>
      <c r="U199" s="104">
        <f t="shared" si="64"/>
        <v>0</v>
      </c>
      <c r="V199" s="100"/>
      <c r="W199" s="101"/>
    </row>
    <row r="200" spans="2:23" ht="18" customHeight="1" x14ac:dyDescent="0.4">
      <c r="B200" s="102"/>
      <c r="C200" s="103"/>
      <c r="D200" s="103"/>
      <c r="E200" s="103"/>
      <c r="F200" s="103"/>
      <c r="G200" s="103"/>
      <c r="H200" s="103"/>
      <c r="I200" s="103"/>
      <c r="J200" s="100"/>
      <c r="K200" s="100"/>
      <c r="L200" s="101"/>
      <c r="M200" s="102"/>
      <c r="N200" s="103"/>
      <c r="O200" s="103"/>
      <c r="P200" s="103"/>
      <c r="Q200" s="103"/>
      <c r="R200" s="103"/>
      <c r="S200" s="103"/>
      <c r="T200" s="103"/>
      <c r="U200" s="104">
        <f t="shared" si="64"/>
        <v>0</v>
      </c>
      <c r="V200" s="100"/>
      <c r="W200" s="101"/>
    </row>
    <row r="201" spans="2:23" ht="18" customHeight="1" x14ac:dyDescent="0.4">
      <c r="B201" s="109"/>
      <c r="C201" s="110"/>
      <c r="D201" s="110"/>
      <c r="E201" s="110"/>
      <c r="F201" s="110"/>
      <c r="G201" s="110"/>
      <c r="H201" s="110"/>
      <c r="I201" s="110"/>
      <c r="J201" s="107"/>
      <c r="K201" s="107"/>
      <c r="L201" s="108"/>
      <c r="M201" s="109"/>
      <c r="N201" s="110"/>
      <c r="O201" s="110"/>
      <c r="P201" s="110"/>
      <c r="Q201" s="110"/>
      <c r="R201" s="110"/>
      <c r="S201" s="110"/>
      <c r="T201" s="110"/>
      <c r="U201" s="111">
        <f t="shared" si="64"/>
        <v>0</v>
      </c>
      <c r="V201" s="107"/>
      <c r="W201" s="108"/>
    </row>
    <row r="202" spans="2:23" ht="18" customHeight="1" x14ac:dyDescent="0.4">
      <c r="B202" s="86"/>
      <c r="C202" s="87"/>
      <c r="D202" s="87"/>
      <c r="E202" s="87"/>
      <c r="F202" s="87"/>
      <c r="G202" s="87"/>
      <c r="H202" s="87"/>
      <c r="I202" s="87"/>
      <c r="J202" s="88" t="s">
        <v>105</v>
      </c>
      <c r="K202" s="87"/>
      <c r="L202" s="89"/>
      <c r="M202" s="90">
        <f>B202</f>
        <v>0</v>
      </c>
      <c r="N202" s="87"/>
      <c r="O202" s="87"/>
      <c r="P202" s="87"/>
      <c r="Q202" s="87"/>
      <c r="R202" s="87"/>
      <c r="S202" s="87"/>
      <c r="T202" s="87"/>
      <c r="U202" s="88" t="s">
        <v>105</v>
      </c>
      <c r="V202" s="87"/>
      <c r="W202" s="89"/>
    </row>
    <row r="203" spans="2:23" ht="18" customHeight="1" x14ac:dyDescent="0.4">
      <c r="B203" s="95"/>
      <c r="C203" s="96"/>
      <c r="D203" s="96"/>
      <c r="E203" s="96"/>
      <c r="F203" s="96"/>
      <c r="G203" s="96"/>
      <c r="H203" s="96"/>
      <c r="I203" s="96"/>
      <c r="J203" s="93"/>
      <c r="K203" s="93"/>
      <c r="L203" s="94"/>
      <c r="M203" s="95"/>
      <c r="N203" s="96"/>
      <c r="O203" s="96"/>
      <c r="P203" s="96"/>
      <c r="Q203" s="96"/>
      <c r="R203" s="96"/>
      <c r="S203" s="96"/>
      <c r="T203" s="96"/>
      <c r="U203" s="97">
        <f t="shared" ref="U203:U212" si="65">J203</f>
        <v>0</v>
      </c>
      <c r="V203" s="93"/>
      <c r="W203" s="94"/>
    </row>
    <row r="204" spans="2:23" ht="18" customHeight="1" x14ac:dyDescent="0.4">
      <c r="B204" s="102"/>
      <c r="C204" s="103"/>
      <c r="D204" s="103"/>
      <c r="E204" s="103"/>
      <c r="F204" s="103"/>
      <c r="G204" s="103"/>
      <c r="H204" s="103"/>
      <c r="I204" s="103"/>
      <c r="J204" s="100"/>
      <c r="K204" s="100"/>
      <c r="L204" s="101"/>
      <c r="M204" s="102"/>
      <c r="N204" s="103"/>
      <c r="O204" s="103"/>
      <c r="P204" s="103"/>
      <c r="Q204" s="103"/>
      <c r="R204" s="103"/>
      <c r="S204" s="103"/>
      <c r="T204" s="103"/>
      <c r="U204" s="104">
        <f t="shared" si="65"/>
        <v>0</v>
      </c>
      <c r="V204" s="100"/>
      <c r="W204" s="101"/>
    </row>
    <row r="205" spans="2:23" ht="18" customHeight="1" x14ac:dyDescent="0.4">
      <c r="B205" s="102"/>
      <c r="C205" s="103"/>
      <c r="D205" s="103"/>
      <c r="E205" s="103"/>
      <c r="F205" s="103"/>
      <c r="G205" s="103"/>
      <c r="H205" s="103"/>
      <c r="I205" s="103"/>
      <c r="J205" s="100"/>
      <c r="K205" s="100"/>
      <c r="L205" s="101"/>
      <c r="M205" s="102"/>
      <c r="N205" s="103"/>
      <c r="O205" s="103"/>
      <c r="P205" s="103"/>
      <c r="Q205" s="103"/>
      <c r="R205" s="103"/>
      <c r="S205" s="103"/>
      <c r="T205" s="103"/>
      <c r="U205" s="104">
        <f t="shared" si="65"/>
        <v>0</v>
      </c>
      <c r="V205" s="100"/>
      <c r="W205" s="101"/>
    </row>
    <row r="206" spans="2:23" ht="18" customHeight="1" x14ac:dyDescent="0.4">
      <c r="B206" s="102"/>
      <c r="C206" s="103"/>
      <c r="D206" s="103"/>
      <c r="E206" s="103"/>
      <c r="F206" s="103"/>
      <c r="G206" s="103"/>
      <c r="H206" s="103"/>
      <c r="I206" s="103"/>
      <c r="J206" s="100"/>
      <c r="K206" s="100"/>
      <c r="L206" s="101"/>
      <c r="M206" s="102"/>
      <c r="N206" s="103"/>
      <c r="O206" s="103"/>
      <c r="P206" s="103"/>
      <c r="Q206" s="103"/>
      <c r="R206" s="103"/>
      <c r="S206" s="103"/>
      <c r="T206" s="103"/>
      <c r="U206" s="104">
        <f t="shared" si="65"/>
        <v>0</v>
      </c>
      <c r="V206" s="100"/>
      <c r="W206" s="101"/>
    </row>
    <row r="207" spans="2:23" ht="18" customHeight="1" x14ac:dyDescent="0.4">
      <c r="B207" s="102"/>
      <c r="C207" s="103"/>
      <c r="D207" s="103"/>
      <c r="E207" s="103"/>
      <c r="F207" s="103"/>
      <c r="G207" s="103"/>
      <c r="H207" s="103"/>
      <c r="I207" s="103"/>
      <c r="J207" s="100"/>
      <c r="K207" s="100"/>
      <c r="L207" s="101"/>
      <c r="M207" s="102"/>
      <c r="N207" s="103"/>
      <c r="O207" s="103"/>
      <c r="P207" s="103"/>
      <c r="Q207" s="103"/>
      <c r="R207" s="103"/>
      <c r="S207" s="103"/>
      <c r="T207" s="103"/>
      <c r="U207" s="104">
        <f t="shared" si="65"/>
        <v>0</v>
      </c>
      <c r="V207" s="100"/>
      <c r="W207" s="101"/>
    </row>
    <row r="208" spans="2:23" ht="18" customHeight="1" x14ac:dyDescent="0.4">
      <c r="B208" s="102"/>
      <c r="C208" s="103"/>
      <c r="D208" s="103"/>
      <c r="E208" s="103"/>
      <c r="F208" s="103"/>
      <c r="G208" s="103"/>
      <c r="H208" s="103"/>
      <c r="I208" s="103"/>
      <c r="J208" s="100"/>
      <c r="K208" s="100"/>
      <c r="L208" s="101"/>
      <c r="M208" s="102"/>
      <c r="N208" s="103"/>
      <c r="O208" s="103"/>
      <c r="P208" s="103"/>
      <c r="Q208" s="103"/>
      <c r="R208" s="103"/>
      <c r="S208" s="103"/>
      <c r="T208" s="103"/>
      <c r="U208" s="104">
        <f t="shared" si="65"/>
        <v>0</v>
      </c>
      <c r="V208" s="100"/>
      <c r="W208" s="101"/>
    </row>
    <row r="209" spans="2:23" ht="18" customHeight="1" x14ac:dyDescent="0.4">
      <c r="B209" s="102"/>
      <c r="C209" s="103"/>
      <c r="D209" s="103"/>
      <c r="E209" s="103"/>
      <c r="F209" s="103"/>
      <c r="G209" s="103"/>
      <c r="H209" s="103"/>
      <c r="I209" s="103"/>
      <c r="J209" s="100"/>
      <c r="K209" s="100"/>
      <c r="L209" s="101"/>
      <c r="M209" s="102"/>
      <c r="N209" s="103"/>
      <c r="O209" s="103"/>
      <c r="P209" s="103"/>
      <c r="Q209" s="103"/>
      <c r="R209" s="103"/>
      <c r="S209" s="103"/>
      <c r="T209" s="103"/>
      <c r="U209" s="104">
        <f t="shared" si="65"/>
        <v>0</v>
      </c>
      <c r="V209" s="100"/>
      <c r="W209" s="101"/>
    </row>
    <row r="210" spans="2:23" ht="18" customHeight="1" x14ac:dyDescent="0.4">
      <c r="B210" s="102"/>
      <c r="C210" s="103"/>
      <c r="D210" s="103"/>
      <c r="E210" s="103"/>
      <c r="F210" s="103"/>
      <c r="G210" s="103"/>
      <c r="H210" s="103"/>
      <c r="I210" s="103"/>
      <c r="J210" s="100"/>
      <c r="K210" s="100"/>
      <c r="L210" s="101"/>
      <c r="M210" s="102"/>
      <c r="N210" s="103"/>
      <c r="O210" s="103"/>
      <c r="P210" s="103"/>
      <c r="Q210" s="103"/>
      <c r="R210" s="103"/>
      <c r="S210" s="103"/>
      <c r="T210" s="103"/>
      <c r="U210" s="104">
        <f t="shared" si="65"/>
        <v>0</v>
      </c>
      <c r="V210" s="100"/>
      <c r="W210" s="101"/>
    </row>
    <row r="211" spans="2:23" ht="18" customHeight="1" x14ac:dyDescent="0.4">
      <c r="B211" s="102"/>
      <c r="C211" s="103"/>
      <c r="D211" s="103"/>
      <c r="E211" s="103"/>
      <c r="F211" s="103"/>
      <c r="G211" s="103"/>
      <c r="H211" s="103"/>
      <c r="I211" s="103"/>
      <c r="J211" s="100"/>
      <c r="K211" s="100"/>
      <c r="L211" s="101"/>
      <c r="M211" s="102"/>
      <c r="N211" s="103"/>
      <c r="O211" s="103"/>
      <c r="P211" s="103"/>
      <c r="Q211" s="103"/>
      <c r="R211" s="103"/>
      <c r="S211" s="103"/>
      <c r="T211" s="103"/>
      <c r="U211" s="104">
        <f t="shared" si="65"/>
        <v>0</v>
      </c>
      <c r="V211" s="100"/>
      <c r="W211" s="101"/>
    </row>
    <row r="212" spans="2:23" ht="18" customHeight="1" x14ac:dyDescent="0.4">
      <c r="B212" s="109"/>
      <c r="C212" s="110"/>
      <c r="D212" s="110"/>
      <c r="E212" s="110"/>
      <c r="F212" s="110"/>
      <c r="G212" s="110"/>
      <c r="H212" s="110"/>
      <c r="I212" s="110"/>
      <c r="J212" s="107"/>
      <c r="K212" s="107"/>
      <c r="L212" s="108"/>
      <c r="M212" s="109"/>
      <c r="N212" s="110"/>
      <c r="O212" s="110"/>
      <c r="P212" s="110"/>
      <c r="Q212" s="110"/>
      <c r="R212" s="110"/>
      <c r="S212" s="110"/>
      <c r="T212" s="110"/>
      <c r="U212" s="111">
        <f t="shared" si="65"/>
        <v>0</v>
      </c>
      <c r="V212" s="107"/>
      <c r="W212" s="108"/>
    </row>
    <row r="213" spans="2:23" ht="18" customHeight="1" x14ac:dyDescent="0.4">
      <c r="B213" s="86"/>
      <c r="C213" s="87"/>
      <c r="D213" s="87"/>
      <c r="E213" s="87"/>
      <c r="F213" s="87"/>
      <c r="G213" s="87"/>
      <c r="H213" s="87"/>
      <c r="I213" s="87"/>
      <c r="J213" s="88" t="s">
        <v>105</v>
      </c>
      <c r="K213" s="87"/>
      <c r="L213" s="89"/>
      <c r="M213" s="90">
        <f>B213</f>
        <v>0</v>
      </c>
      <c r="N213" s="87"/>
      <c r="O213" s="87"/>
      <c r="P213" s="87"/>
      <c r="Q213" s="87"/>
      <c r="R213" s="87"/>
      <c r="S213" s="87"/>
      <c r="T213" s="87"/>
      <c r="U213" s="88" t="s">
        <v>105</v>
      </c>
      <c r="V213" s="87"/>
      <c r="W213" s="89"/>
    </row>
    <row r="214" spans="2:23" ht="18" customHeight="1" x14ac:dyDescent="0.4">
      <c r="B214" s="95"/>
      <c r="C214" s="96"/>
      <c r="D214" s="96"/>
      <c r="E214" s="96"/>
      <c r="F214" s="96"/>
      <c r="G214" s="96"/>
      <c r="H214" s="96"/>
      <c r="I214" s="96"/>
      <c r="J214" s="93"/>
      <c r="K214" s="93"/>
      <c r="L214" s="94"/>
      <c r="M214" s="95"/>
      <c r="N214" s="96"/>
      <c r="O214" s="96"/>
      <c r="P214" s="96"/>
      <c r="Q214" s="96"/>
      <c r="R214" s="96"/>
      <c r="S214" s="96"/>
      <c r="T214" s="96"/>
      <c r="U214" s="97">
        <f t="shared" ref="U214:U223" si="66">J214</f>
        <v>0</v>
      </c>
      <c r="V214" s="93"/>
      <c r="W214" s="94"/>
    </row>
    <row r="215" spans="2:23" ht="18" customHeight="1" x14ac:dyDescent="0.4">
      <c r="B215" s="102"/>
      <c r="C215" s="103"/>
      <c r="D215" s="103"/>
      <c r="E215" s="103"/>
      <c r="F215" s="103"/>
      <c r="G215" s="103"/>
      <c r="H215" s="103"/>
      <c r="I215" s="103"/>
      <c r="J215" s="100"/>
      <c r="K215" s="100"/>
      <c r="L215" s="101"/>
      <c r="M215" s="102"/>
      <c r="N215" s="103"/>
      <c r="O215" s="103"/>
      <c r="P215" s="103"/>
      <c r="Q215" s="103"/>
      <c r="R215" s="103"/>
      <c r="S215" s="103"/>
      <c r="T215" s="103"/>
      <c r="U215" s="104">
        <f t="shared" si="66"/>
        <v>0</v>
      </c>
      <c r="V215" s="100"/>
      <c r="W215" s="101"/>
    </row>
    <row r="216" spans="2:23" ht="18" customHeight="1" x14ac:dyDescent="0.4">
      <c r="B216" s="102"/>
      <c r="C216" s="103"/>
      <c r="D216" s="103"/>
      <c r="E216" s="103"/>
      <c r="F216" s="103"/>
      <c r="G216" s="103"/>
      <c r="H216" s="103"/>
      <c r="I216" s="103"/>
      <c r="J216" s="100"/>
      <c r="K216" s="100"/>
      <c r="L216" s="101"/>
      <c r="M216" s="102"/>
      <c r="N216" s="103"/>
      <c r="O216" s="103"/>
      <c r="P216" s="103"/>
      <c r="Q216" s="103"/>
      <c r="R216" s="103"/>
      <c r="S216" s="103"/>
      <c r="T216" s="103"/>
      <c r="U216" s="104">
        <f t="shared" si="66"/>
        <v>0</v>
      </c>
      <c r="V216" s="100"/>
      <c r="W216" s="101"/>
    </row>
    <row r="217" spans="2:23" ht="18" customHeight="1" x14ac:dyDescent="0.4">
      <c r="B217" s="102"/>
      <c r="C217" s="103"/>
      <c r="D217" s="103"/>
      <c r="E217" s="103"/>
      <c r="F217" s="103"/>
      <c r="G217" s="103"/>
      <c r="H217" s="103"/>
      <c r="I217" s="103"/>
      <c r="J217" s="100"/>
      <c r="K217" s="100"/>
      <c r="L217" s="101"/>
      <c r="M217" s="102"/>
      <c r="N217" s="103"/>
      <c r="O217" s="103"/>
      <c r="P217" s="103"/>
      <c r="Q217" s="103"/>
      <c r="R217" s="103"/>
      <c r="S217" s="103"/>
      <c r="T217" s="103"/>
      <c r="U217" s="104">
        <f t="shared" si="66"/>
        <v>0</v>
      </c>
      <c r="V217" s="100"/>
      <c r="W217" s="101"/>
    </row>
    <row r="218" spans="2:23" ht="18" customHeight="1" x14ac:dyDescent="0.4">
      <c r="B218" s="102"/>
      <c r="C218" s="103"/>
      <c r="D218" s="103"/>
      <c r="E218" s="103"/>
      <c r="F218" s="103"/>
      <c r="G218" s="103"/>
      <c r="H218" s="103"/>
      <c r="I218" s="103"/>
      <c r="J218" s="100"/>
      <c r="K218" s="100"/>
      <c r="L218" s="101"/>
      <c r="M218" s="102"/>
      <c r="N218" s="103"/>
      <c r="O218" s="103"/>
      <c r="P218" s="103"/>
      <c r="Q218" s="103"/>
      <c r="R218" s="103"/>
      <c r="S218" s="103"/>
      <c r="T218" s="103"/>
      <c r="U218" s="104">
        <f t="shared" si="66"/>
        <v>0</v>
      </c>
      <c r="V218" s="100"/>
      <c r="W218" s="101"/>
    </row>
    <row r="219" spans="2:23" ht="18" customHeight="1" x14ac:dyDescent="0.4">
      <c r="B219" s="102"/>
      <c r="C219" s="103"/>
      <c r="D219" s="103"/>
      <c r="E219" s="103"/>
      <c r="F219" s="103"/>
      <c r="G219" s="103"/>
      <c r="H219" s="103"/>
      <c r="I219" s="103"/>
      <c r="J219" s="100"/>
      <c r="K219" s="100"/>
      <c r="L219" s="101"/>
      <c r="M219" s="102"/>
      <c r="N219" s="103"/>
      <c r="O219" s="103"/>
      <c r="P219" s="103"/>
      <c r="Q219" s="103"/>
      <c r="R219" s="103"/>
      <c r="S219" s="103"/>
      <c r="T219" s="103"/>
      <c r="U219" s="104">
        <f t="shared" si="66"/>
        <v>0</v>
      </c>
      <c r="V219" s="100"/>
      <c r="W219" s="101"/>
    </row>
    <row r="220" spans="2:23" ht="18" customHeight="1" x14ac:dyDescent="0.4">
      <c r="B220" s="102"/>
      <c r="C220" s="103"/>
      <c r="D220" s="103"/>
      <c r="E220" s="103"/>
      <c r="F220" s="103"/>
      <c r="G220" s="103"/>
      <c r="H220" s="103"/>
      <c r="I220" s="103"/>
      <c r="J220" s="100"/>
      <c r="K220" s="100"/>
      <c r="L220" s="101"/>
      <c r="M220" s="102"/>
      <c r="N220" s="103"/>
      <c r="O220" s="103"/>
      <c r="P220" s="103"/>
      <c r="Q220" s="103"/>
      <c r="R220" s="103"/>
      <c r="S220" s="103"/>
      <c r="T220" s="103"/>
      <c r="U220" s="104">
        <f t="shared" si="66"/>
        <v>0</v>
      </c>
      <c r="V220" s="100"/>
      <c r="W220" s="101"/>
    </row>
    <row r="221" spans="2:23" ht="18" customHeight="1" x14ac:dyDescent="0.4">
      <c r="B221" s="102"/>
      <c r="C221" s="103"/>
      <c r="D221" s="103"/>
      <c r="E221" s="103"/>
      <c r="F221" s="103"/>
      <c r="G221" s="103"/>
      <c r="H221" s="103"/>
      <c r="I221" s="103"/>
      <c r="J221" s="100"/>
      <c r="K221" s="100"/>
      <c r="L221" s="101"/>
      <c r="M221" s="102"/>
      <c r="N221" s="103"/>
      <c r="O221" s="103"/>
      <c r="P221" s="103"/>
      <c r="Q221" s="103"/>
      <c r="R221" s="103"/>
      <c r="S221" s="103"/>
      <c r="T221" s="103"/>
      <c r="U221" s="104">
        <f t="shared" si="66"/>
        <v>0</v>
      </c>
      <c r="V221" s="100"/>
      <c r="W221" s="101"/>
    </row>
    <row r="222" spans="2:23" ht="18" customHeight="1" x14ac:dyDescent="0.4">
      <c r="B222" s="102"/>
      <c r="C222" s="103"/>
      <c r="D222" s="103"/>
      <c r="E222" s="103"/>
      <c r="F222" s="103"/>
      <c r="G222" s="103"/>
      <c r="H222" s="103"/>
      <c r="I222" s="103"/>
      <c r="J222" s="100"/>
      <c r="K222" s="100"/>
      <c r="L222" s="101"/>
      <c r="M222" s="102"/>
      <c r="N222" s="103"/>
      <c r="O222" s="103"/>
      <c r="P222" s="103"/>
      <c r="Q222" s="103"/>
      <c r="R222" s="103"/>
      <c r="S222" s="103"/>
      <c r="T222" s="103"/>
      <c r="U222" s="104">
        <f t="shared" si="66"/>
        <v>0</v>
      </c>
      <c r="V222" s="100"/>
      <c r="W222" s="101"/>
    </row>
    <row r="223" spans="2:23" ht="18" customHeight="1" x14ac:dyDescent="0.4">
      <c r="B223" s="109"/>
      <c r="C223" s="110"/>
      <c r="D223" s="110"/>
      <c r="E223" s="110"/>
      <c r="F223" s="110"/>
      <c r="G223" s="110"/>
      <c r="H223" s="110"/>
      <c r="I223" s="110"/>
      <c r="J223" s="107"/>
      <c r="K223" s="107"/>
      <c r="L223" s="108"/>
      <c r="M223" s="109"/>
      <c r="N223" s="110"/>
      <c r="O223" s="110"/>
      <c r="P223" s="110"/>
      <c r="Q223" s="110"/>
      <c r="R223" s="110"/>
      <c r="S223" s="110"/>
      <c r="T223" s="110"/>
      <c r="U223" s="111">
        <f t="shared" si="66"/>
        <v>0</v>
      </c>
      <c r="V223" s="107"/>
      <c r="W223" s="108"/>
    </row>
    <row r="224" spans="2:23" ht="18" customHeight="1" x14ac:dyDescent="0.4">
      <c r="B224" s="86"/>
      <c r="C224" s="87"/>
      <c r="D224" s="87"/>
      <c r="E224" s="87"/>
      <c r="F224" s="87"/>
      <c r="G224" s="87"/>
      <c r="H224" s="87"/>
      <c r="I224" s="87"/>
      <c r="J224" s="88" t="s">
        <v>105</v>
      </c>
      <c r="K224" s="87"/>
      <c r="L224" s="89"/>
      <c r="M224" s="90">
        <f>B224</f>
        <v>0</v>
      </c>
      <c r="N224" s="87"/>
      <c r="O224" s="87"/>
      <c r="P224" s="87"/>
      <c r="Q224" s="87"/>
      <c r="R224" s="87"/>
      <c r="S224" s="87"/>
      <c r="T224" s="87"/>
      <c r="U224" s="88" t="s">
        <v>105</v>
      </c>
      <c r="V224" s="87"/>
      <c r="W224" s="89"/>
    </row>
    <row r="225" spans="2:23" ht="18" customHeight="1" x14ac:dyDescent="0.4">
      <c r="B225" s="95"/>
      <c r="C225" s="96"/>
      <c r="D225" s="96"/>
      <c r="E225" s="96"/>
      <c r="F225" s="96"/>
      <c r="G225" s="96"/>
      <c r="H225" s="96"/>
      <c r="I225" s="96"/>
      <c r="J225" s="93"/>
      <c r="K225" s="93"/>
      <c r="L225" s="94"/>
      <c r="M225" s="95"/>
      <c r="N225" s="96"/>
      <c r="O225" s="96"/>
      <c r="P225" s="96"/>
      <c r="Q225" s="96"/>
      <c r="R225" s="96"/>
      <c r="S225" s="96"/>
      <c r="T225" s="96"/>
      <c r="U225" s="97">
        <f t="shared" ref="U225:U234" si="67">J225</f>
        <v>0</v>
      </c>
      <c r="V225" s="93"/>
      <c r="W225" s="94"/>
    </row>
    <row r="226" spans="2:23" ht="18" customHeight="1" x14ac:dyDescent="0.4">
      <c r="B226" s="102"/>
      <c r="C226" s="103"/>
      <c r="D226" s="103"/>
      <c r="E226" s="103"/>
      <c r="F226" s="103"/>
      <c r="G226" s="103"/>
      <c r="H226" s="103"/>
      <c r="I226" s="103"/>
      <c r="J226" s="100"/>
      <c r="K226" s="100"/>
      <c r="L226" s="101"/>
      <c r="M226" s="102"/>
      <c r="N226" s="103"/>
      <c r="O226" s="103"/>
      <c r="P226" s="103"/>
      <c r="Q226" s="103"/>
      <c r="R226" s="103"/>
      <c r="S226" s="103"/>
      <c r="T226" s="103"/>
      <c r="U226" s="104">
        <f t="shared" si="67"/>
        <v>0</v>
      </c>
      <c r="V226" s="100"/>
      <c r="W226" s="101"/>
    </row>
    <row r="227" spans="2:23" ht="18" customHeight="1" x14ac:dyDescent="0.4">
      <c r="B227" s="102"/>
      <c r="C227" s="103"/>
      <c r="D227" s="103"/>
      <c r="E227" s="103"/>
      <c r="F227" s="103"/>
      <c r="G227" s="103"/>
      <c r="H227" s="103"/>
      <c r="I227" s="103"/>
      <c r="J227" s="100"/>
      <c r="K227" s="100"/>
      <c r="L227" s="101"/>
      <c r="M227" s="102"/>
      <c r="N227" s="103"/>
      <c r="O227" s="103"/>
      <c r="P227" s="103"/>
      <c r="Q227" s="103"/>
      <c r="R227" s="103"/>
      <c r="S227" s="103"/>
      <c r="T227" s="103"/>
      <c r="U227" s="104">
        <f t="shared" si="67"/>
        <v>0</v>
      </c>
      <c r="V227" s="100"/>
      <c r="W227" s="101"/>
    </row>
    <row r="228" spans="2:23" ht="18" customHeight="1" x14ac:dyDescent="0.4">
      <c r="B228" s="102"/>
      <c r="C228" s="103"/>
      <c r="D228" s="103"/>
      <c r="E228" s="103"/>
      <c r="F228" s="103"/>
      <c r="G228" s="103"/>
      <c r="H228" s="103"/>
      <c r="I228" s="103"/>
      <c r="J228" s="100"/>
      <c r="K228" s="100"/>
      <c r="L228" s="101"/>
      <c r="M228" s="102"/>
      <c r="N228" s="103"/>
      <c r="O228" s="103"/>
      <c r="P228" s="103"/>
      <c r="Q228" s="103"/>
      <c r="R228" s="103"/>
      <c r="S228" s="103"/>
      <c r="T228" s="103"/>
      <c r="U228" s="104">
        <f t="shared" si="67"/>
        <v>0</v>
      </c>
      <c r="V228" s="100"/>
      <c r="W228" s="101"/>
    </row>
    <row r="229" spans="2:23" ht="18" customHeight="1" x14ac:dyDescent="0.4">
      <c r="B229" s="102"/>
      <c r="C229" s="103"/>
      <c r="D229" s="103"/>
      <c r="E229" s="103"/>
      <c r="F229" s="103"/>
      <c r="G229" s="103"/>
      <c r="H229" s="103"/>
      <c r="I229" s="103"/>
      <c r="J229" s="100"/>
      <c r="K229" s="100"/>
      <c r="L229" s="101"/>
      <c r="M229" s="102"/>
      <c r="N229" s="103"/>
      <c r="O229" s="103"/>
      <c r="P229" s="103"/>
      <c r="Q229" s="103"/>
      <c r="R229" s="103"/>
      <c r="S229" s="103"/>
      <c r="T229" s="103"/>
      <c r="U229" s="104">
        <f t="shared" si="67"/>
        <v>0</v>
      </c>
      <c r="V229" s="100"/>
      <c r="W229" s="101"/>
    </row>
    <row r="230" spans="2:23" ht="18" customHeight="1" x14ac:dyDescent="0.4">
      <c r="B230" s="102"/>
      <c r="C230" s="103"/>
      <c r="D230" s="103"/>
      <c r="E230" s="103"/>
      <c r="F230" s="103"/>
      <c r="G230" s="103"/>
      <c r="H230" s="103"/>
      <c r="I230" s="103"/>
      <c r="J230" s="100"/>
      <c r="K230" s="100"/>
      <c r="L230" s="101"/>
      <c r="M230" s="102"/>
      <c r="N230" s="103"/>
      <c r="O230" s="103"/>
      <c r="P230" s="103"/>
      <c r="Q230" s="103"/>
      <c r="R230" s="103"/>
      <c r="S230" s="103"/>
      <c r="T230" s="103"/>
      <c r="U230" s="104">
        <f t="shared" si="67"/>
        <v>0</v>
      </c>
      <c r="V230" s="100"/>
      <c r="W230" s="101"/>
    </row>
    <row r="231" spans="2:23" ht="18" customHeight="1" x14ac:dyDescent="0.4">
      <c r="B231" s="102"/>
      <c r="C231" s="103"/>
      <c r="D231" s="103"/>
      <c r="E231" s="103"/>
      <c r="F231" s="103"/>
      <c r="G231" s="103"/>
      <c r="H231" s="103"/>
      <c r="I231" s="103"/>
      <c r="J231" s="100"/>
      <c r="K231" s="100"/>
      <c r="L231" s="101"/>
      <c r="M231" s="102"/>
      <c r="N231" s="103"/>
      <c r="O231" s="103"/>
      <c r="P231" s="103"/>
      <c r="Q231" s="103"/>
      <c r="R231" s="103"/>
      <c r="S231" s="103"/>
      <c r="T231" s="103"/>
      <c r="U231" s="104">
        <f t="shared" si="67"/>
        <v>0</v>
      </c>
      <c r="V231" s="100"/>
      <c r="W231" s="101"/>
    </row>
    <row r="232" spans="2:23" ht="18" customHeight="1" x14ac:dyDescent="0.4">
      <c r="B232" s="102"/>
      <c r="C232" s="103"/>
      <c r="D232" s="103"/>
      <c r="E232" s="103"/>
      <c r="F232" s="103"/>
      <c r="G232" s="103"/>
      <c r="H232" s="103"/>
      <c r="I232" s="103"/>
      <c r="J232" s="100"/>
      <c r="K232" s="100"/>
      <c r="L232" s="101"/>
      <c r="M232" s="102"/>
      <c r="N232" s="103"/>
      <c r="O232" s="103"/>
      <c r="P232" s="103"/>
      <c r="Q232" s="103"/>
      <c r="R232" s="103"/>
      <c r="S232" s="103"/>
      <c r="T232" s="103"/>
      <c r="U232" s="104">
        <f t="shared" si="67"/>
        <v>0</v>
      </c>
      <c r="V232" s="100"/>
      <c r="W232" s="101"/>
    </row>
    <row r="233" spans="2:23" ht="18" customHeight="1" x14ac:dyDescent="0.4">
      <c r="B233" s="102"/>
      <c r="C233" s="103"/>
      <c r="D233" s="103"/>
      <c r="E233" s="103"/>
      <c r="F233" s="103"/>
      <c r="G233" s="103"/>
      <c r="H233" s="103"/>
      <c r="I233" s="103"/>
      <c r="J233" s="100"/>
      <c r="K233" s="100"/>
      <c r="L233" s="101"/>
      <c r="M233" s="102"/>
      <c r="N233" s="103"/>
      <c r="O233" s="103"/>
      <c r="P233" s="103"/>
      <c r="Q233" s="103"/>
      <c r="R233" s="103"/>
      <c r="S233" s="103"/>
      <c r="T233" s="103"/>
      <c r="U233" s="104">
        <f t="shared" si="67"/>
        <v>0</v>
      </c>
      <c r="V233" s="100"/>
      <c r="W233" s="101"/>
    </row>
    <row r="234" spans="2:23" ht="18" customHeight="1" x14ac:dyDescent="0.4">
      <c r="B234" s="109"/>
      <c r="C234" s="110"/>
      <c r="D234" s="110"/>
      <c r="E234" s="110"/>
      <c r="F234" s="110"/>
      <c r="G234" s="110"/>
      <c r="H234" s="110"/>
      <c r="I234" s="110"/>
      <c r="J234" s="107"/>
      <c r="K234" s="107"/>
      <c r="L234" s="108"/>
      <c r="M234" s="109"/>
      <c r="N234" s="110"/>
      <c r="O234" s="110"/>
      <c r="P234" s="110"/>
      <c r="Q234" s="110"/>
      <c r="R234" s="110"/>
      <c r="S234" s="110"/>
      <c r="T234" s="110"/>
      <c r="U234" s="111">
        <f t="shared" si="67"/>
        <v>0</v>
      </c>
      <c r="V234" s="107"/>
      <c r="W234" s="108"/>
    </row>
    <row r="235" spans="2:23" ht="18" customHeight="1" x14ac:dyDescent="0.4">
      <c r="B235" s="86"/>
      <c r="C235" s="87"/>
      <c r="D235" s="87"/>
      <c r="E235" s="87"/>
      <c r="F235" s="87"/>
      <c r="G235" s="87"/>
      <c r="H235" s="87"/>
      <c r="I235" s="87"/>
      <c r="J235" s="88" t="s">
        <v>105</v>
      </c>
      <c r="K235" s="87"/>
      <c r="L235" s="89"/>
      <c r="M235" s="90">
        <f>B235</f>
        <v>0</v>
      </c>
      <c r="N235" s="87"/>
      <c r="O235" s="87"/>
      <c r="P235" s="87"/>
      <c r="Q235" s="87"/>
      <c r="R235" s="87"/>
      <c r="S235" s="87"/>
      <c r="T235" s="87"/>
      <c r="U235" s="88" t="s">
        <v>105</v>
      </c>
      <c r="V235" s="87"/>
      <c r="W235" s="89"/>
    </row>
    <row r="236" spans="2:23" ht="18" customHeight="1" x14ac:dyDescent="0.4">
      <c r="B236" s="95"/>
      <c r="C236" s="96"/>
      <c r="D236" s="96"/>
      <c r="E236" s="96"/>
      <c r="F236" s="96"/>
      <c r="G236" s="96"/>
      <c r="H236" s="96"/>
      <c r="I236" s="96"/>
      <c r="J236" s="93"/>
      <c r="K236" s="93"/>
      <c r="L236" s="94"/>
      <c r="M236" s="95"/>
      <c r="N236" s="96"/>
      <c r="O236" s="96"/>
      <c r="P236" s="96"/>
      <c r="Q236" s="96"/>
      <c r="R236" s="96"/>
      <c r="S236" s="96"/>
      <c r="T236" s="96"/>
      <c r="U236" s="97">
        <f t="shared" ref="U236:U245" si="68">J236</f>
        <v>0</v>
      </c>
      <c r="V236" s="93"/>
      <c r="W236" s="94"/>
    </row>
    <row r="237" spans="2:23" ht="18" customHeight="1" x14ac:dyDescent="0.4">
      <c r="B237" s="102"/>
      <c r="C237" s="103"/>
      <c r="D237" s="103"/>
      <c r="E237" s="103"/>
      <c r="F237" s="103"/>
      <c r="G237" s="103"/>
      <c r="H237" s="103"/>
      <c r="I237" s="103"/>
      <c r="J237" s="100"/>
      <c r="K237" s="100"/>
      <c r="L237" s="101"/>
      <c r="M237" s="102"/>
      <c r="N237" s="103"/>
      <c r="O237" s="103"/>
      <c r="P237" s="103"/>
      <c r="Q237" s="103"/>
      <c r="R237" s="103"/>
      <c r="S237" s="103"/>
      <c r="T237" s="103"/>
      <c r="U237" s="104">
        <f t="shared" si="68"/>
        <v>0</v>
      </c>
      <c r="V237" s="100"/>
      <c r="W237" s="101"/>
    </row>
    <row r="238" spans="2:23" ht="18" customHeight="1" x14ac:dyDescent="0.4">
      <c r="B238" s="102"/>
      <c r="C238" s="103"/>
      <c r="D238" s="103"/>
      <c r="E238" s="103"/>
      <c r="F238" s="103"/>
      <c r="G238" s="103"/>
      <c r="H238" s="103"/>
      <c r="I238" s="103"/>
      <c r="J238" s="100"/>
      <c r="K238" s="100"/>
      <c r="L238" s="101"/>
      <c r="M238" s="102"/>
      <c r="N238" s="103"/>
      <c r="O238" s="103"/>
      <c r="P238" s="103"/>
      <c r="Q238" s="103"/>
      <c r="R238" s="103"/>
      <c r="S238" s="103"/>
      <c r="T238" s="103"/>
      <c r="U238" s="104">
        <f t="shared" si="68"/>
        <v>0</v>
      </c>
      <c r="V238" s="100"/>
      <c r="W238" s="101"/>
    </row>
    <row r="239" spans="2:23" ht="18" customHeight="1" x14ac:dyDescent="0.4">
      <c r="B239" s="102"/>
      <c r="C239" s="103"/>
      <c r="D239" s="103"/>
      <c r="E239" s="103"/>
      <c r="F239" s="103"/>
      <c r="G239" s="103"/>
      <c r="H239" s="103"/>
      <c r="I239" s="103"/>
      <c r="J239" s="100"/>
      <c r="K239" s="100"/>
      <c r="L239" s="101"/>
      <c r="M239" s="102"/>
      <c r="N239" s="103"/>
      <c r="O239" s="103"/>
      <c r="P239" s="103"/>
      <c r="Q239" s="103"/>
      <c r="R239" s="103"/>
      <c r="S239" s="103"/>
      <c r="T239" s="103"/>
      <c r="U239" s="104">
        <f t="shared" si="68"/>
        <v>0</v>
      </c>
      <c r="V239" s="100"/>
      <c r="W239" s="101"/>
    </row>
    <row r="240" spans="2:23" ht="18" customHeight="1" x14ac:dyDescent="0.4">
      <c r="B240" s="102"/>
      <c r="C240" s="103"/>
      <c r="D240" s="103"/>
      <c r="E240" s="103"/>
      <c r="F240" s="103"/>
      <c r="G240" s="103"/>
      <c r="H240" s="103"/>
      <c r="I240" s="103"/>
      <c r="J240" s="100"/>
      <c r="K240" s="100"/>
      <c r="L240" s="101"/>
      <c r="M240" s="102"/>
      <c r="N240" s="103"/>
      <c r="O240" s="103"/>
      <c r="P240" s="103"/>
      <c r="Q240" s="103"/>
      <c r="R240" s="103"/>
      <c r="S240" s="103"/>
      <c r="T240" s="103"/>
      <c r="U240" s="104">
        <f t="shared" si="68"/>
        <v>0</v>
      </c>
      <c r="V240" s="100"/>
      <c r="W240" s="101"/>
    </row>
    <row r="241" spans="2:23" ht="18" customHeight="1" x14ac:dyDescent="0.4">
      <c r="B241" s="102"/>
      <c r="C241" s="103"/>
      <c r="D241" s="103"/>
      <c r="E241" s="103"/>
      <c r="F241" s="103"/>
      <c r="G241" s="103"/>
      <c r="H241" s="103"/>
      <c r="I241" s="103"/>
      <c r="J241" s="100"/>
      <c r="K241" s="100"/>
      <c r="L241" s="101"/>
      <c r="M241" s="102"/>
      <c r="N241" s="103"/>
      <c r="O241" s="103"/>
      <c r="P241" s="103"/>
      <c r="Q241" s="103"/>
      <c r="R241" s="103"/>
      <c r="S241" s="103"/>
      <c r="T241" s="103"/>
      <c r="U241" s="104">
        <f t="shared" si="68"/>
        <v>0</v>
      </c>
      <c r="V241" s="100"/>
      <c r="W241" s="101"/>
    </row>
    <row r="242" spans="2:23" ht="18" customHeight="1" x14ac:dyDescent="0.4">
      <c r="B242" s="102"/>
      <c r="C242" s="103"/>
      <c r="D242" s="103"/>
      <c r="E242" s="103"/>
      <c r="F242" s="103"/>
      <c r="G242" s="103"/>
      <c r="H242" s="103"/>
      <c r="I242" s="103"/>
      <c r="J242" s="100"/>
      <c r="K242" s="100"/>
      <c r="L242" s="101"/>
      <c r="M242" s="102"/>
      <c r="N242" s="103"/>
      <c r="O242" s="103"/>
      <c r="P242" s="103"/>
      <c r="Q242" s="103"/>
      <c r="R242" s="103"/>
      <c r="S242" s="103"/>
      <c r="T242" s="103"/>
      <c r="U242" s="104">
        <f t="shared" si="68"/>
        <v>0</v>
      </c>
      <c r="V242" s="100"/>
      <c r="W242" s="101"/>
    </row>
    <row r="243" spans="2:23" ht="18" customHeight="1" x14ac:dyDescent="0.4">
      <c r="B243" s="102"/>
      <c r="C243" s="103"/>
      <c r="D243" s="103"/>
      <c r="E243" s="103"/>
      <c r="F243" s="103"/>
      <c r="G243" s="103"/>
      <c r="H243" s="103"/>
      <c r="I243" s="103"/>
      <c r="J243" s="100"/>
      <c r="K243" s="100"/>
      <c r="L243" s="101"/>
      <c r="M243" s="102"/>
      <c r="N243" s="103"/>
      <c r="O243" s="103"/>
      <c r="P243" s="103"/>
      <c r="Q243" s="103"/>
      <c r="R243" s="103"/>
      <c r="S243" s="103"/>
      <c r="T243" s="103"/>
      <c r="U243" s="104">
        <f t="shared" si="68"/>
        <v>0</v>
      </c>
      <c r="V243" s="100"/>
      <c r="W243" s="101"/>
    </row>
    <row r="244" spans="2:23" ht="18" customHeight="1" x14ac:dyDescent="0.4">
      <c r="B244" s="102"/>
      <c r="C244" s="103"/>
      <c r="D244" s="103"/>
      <c r="E244" s="103"/>
      <c r="F244" s="103"/>
      <c r="G244" s="103"/>
      <c r="H244" s="103"/>
      <c r="I244" s="103"/>
      <c r="J244" s="100"/>
      <c r="K244" s="100"/>
      <c r="L244" s="101"/>
      <c r="M244" s="102"/>
      <c r="N244" s="103"/>
      <c r="O244" s="103"/>
      <c r="P244" s="103"/>
      <c r="Q244" s="103"/>
      <c r="R244" s="103"/>
      <c r="S244" s="103"/>
      <c r="T244" s="103"/>
      <c r="U244" s="104">
        <f t="shared" si="68"/>
        <v>0</v>
      </c>
      <c r="V244" s="100"/>
      <c r="W244" s="101"/>
    </row>
    <row r="245" spans="2:23" ht="18" customHeight="1" x14ac:dyDescent="0.4">
      <c r="B245" s="109"/>
      <c r="C245" s="110"/>
      <c r="D245" s="110"/>
      <c r="E245" s="110"/>
      <c r="F245" s="110"/>
      <c r="G245" s="110"/>
      <c r="H245" s="110"/>
      <c r="I245" s="110"/>
      <c r="J245" s="107"/>
      <c r="K245" s="107"/>
      <c r="L245" s="108"/>
      <c r="M245" s="109"/>
      <c r="N245" s="110"/>
      <c r="O245" s="110"/>
      <c r="P245" s="110"/>
      <c r="Q245" s="110"/>
      <c r="R245" s="110"/>
      <c r="S245" s="110"/>
      <c r="T245" s="110"/>
      <c r="U245" s="111">
        <f t="shared" si="68"/>
        <v>0</v>
      </c>
      <c r="V245" s="107"/>
      <c r="W245" s="108"/>
    </row>
    <row r="246" spans="2:23" ht="18" customHeight="1" x14ac:dyDescent="0.4">
      <c r="B246" s="86"/>
      <c r="C246" s="87"/>
      <c r="D246" s="87"/>
      <c r="E246" s="87"/>
      <c r="F246" s="87"/>
      <c r="G246" s="87"/>
      <c r="H246" s="87"/>
      <c r="I246" s="87"/>
      <c r="J246" s="88" t="s">
        <v>105</v>
      </c>
      <c r="K246" s="87"/>
      <c r="L246" s="89"/>
      <c r="M246" s="90">
        <f>B246</f>
        <v>0</v>
      </c>
      <c r="N246" s="87"/>
      <c r="O246" s="87"/>
      <c r="P246" s="87"/>
      <c r="Q246" s="87"/>
      <c r="R246" s="87"/>
      <c r="S246" s="87"/>
      <c r="T246" s="87"/>
      <c r="U246" s="88" t="s">
        <v>105</v>
      </c>
      <c r="V246" s="87"/>
      <c r="W246" s="89"/>
    </row>
    <row r="247" spans="2:23" ht="18" customHeight="1" x14ac:dyDescent="0.4">
      <c r="B247" s="95"/>
      <c r="C247" s="96"/>
      <c r="D247" s="96"/>
      <c r="E247" s="96"/>
      <c r="F247" s="96"/>
      <c r="G247" s="96"/>
      <c r="H247" s="96"/>
      <c r="I247" s="96"/>
      <c r="J247" s="93"/>
      <c r="K247" s="93"/>
      <c r="L247" s="94"/>
      <c r="M247" s="95"/>
      <c r="N247" s="96"/>
      <c r="O247" s="96"/>
      <c r="P247" s="96"/>
      <c r="Q247" s="96"/>
      <c r="R247" s="96"/>
      <c r="S247" s="96"/>
      <c r="T247" s="96"/>
      <c r="U247" s="97">
        <f t="shared" ref="U247:U256" si="69">J247</f>
        <v>0</v>
      </c>
      <c r="V247" s="93"/>
      <c r="W247" s="94"/>
    </row>
    <row r="248" spans="2:23" ht="18" customHeight="1" x14ac:dyDescent="0.4">
      <c r="B248" s="102"/>
      <c r="C248" s="103"/>
      <c r="D248" s="103"/>
      <c r="E248" s="103"/>
      <c r="F248" s="103"/>
      <c r="G248" s="103"/>
      <c r="H248" s="103"/>
      <c r="I248" s="103"/>
      <c r="J248" s="100"/>
      <c r="K248" s="100"/>
      <c r="L248" s="101"/>
      <c r="M248" s="102"/>
      <c r="N248" s="103"/>
      <c r="O248" s="103"/>
      <c r="P248" s="103"/>
      <c r="Q248" s="103"/>
      <c r="R248" s="103"/>
      <c r="S248" s="103"/>
      <c r="T248" s="103"/>
      <c r="U248" s="104">
        <f t="shared" si="69"/>
        <v>0</v>
      </c>
      <c r="V248" s="100"/>
      <c r="W248" s="101"/>
    </row>
    <row r="249" spans="2:23" ht="18" customHeight="1" x14ac:dyDescent="0.4">
      <c r="B249" s="102"/>
      <c r="C249" s="103"/>
      <c r="D249" s="103"/>
      <c r="E249" s="103"/>
      <c r="F249" s="103"/>
      <c r="G249" s="103"/>
      <c r="H249" s="103"/>
      <c r="I249" s="103"/>
      <c r="J249" s="100"/>
      <c r="K249" s="100"/>
      <c r="L249" s="101"/>
      <c r="M249" s="102"/>
      <c r="N249" s="103"/>
      <c r="O249" s="103"/>
      <c r="P249" s="103"/>
      <c r="Q249" s="103"/>
      <c r="R249" s="103"/>
      <c r="S249" s="103"/>
      <c r="T249" s="103"/>
      <c r="U249" s="104">
        <f t="shared" si="69"/>
        <v>0</v>
      </c>
      <c r="V249" s="100"/>
      <c r="W249" s="101"/>
    </row>
    <row r="250" spans="2:23" ht="18" customHeight="1" x14ac:dyDescent="0.4">
      <c r="B250" s="102"/>
      <c r="C250" s="103"/>
      <c r="D250" s="103"/>
      <c r="E250" s="103"/>
      <c r="F250" s="103"/>
      <c r="G250" s="103"/>
      <c r="H250" s="103"/>
      <c r="I250" s="103"/>
      <c r="J250" s="100"/>
      <c r="K250" s="100"/>
      <c r="L250" s="101"/>
      <c r="M250" s="102"/>
      <c r="N250" s="103"/>
      <c r="O250" s="103"/>
      <c r="P250" s="103"/>
      <c r="Q250" s="103"/>
      <c r="R250" s="103"/>
      <c r="S250" s="103"/>
      <c r="T250" s="103"/>
      <c r="U250" s="104">
        <f t="shared" si="69"/>
        <v>0</v>
      </c>
      <c r="V250" s="100"/>
      <c r="W250" s="101"/>
    </row>
    <row r="251" spans="2:23" ht="18" customHeight="1" x14ac:dyDescent="0.4">
      <c r="B251" s="102"/>
      <c r="C251" s="103"/>
      <c r="D251" s="103"/>
      <c r="E251" s="103"/>
      <c r="F251" s="103"/>
      <c r="G251" s="103"/>
      <c r="H251" s="103"/>
      <c r="I251" s="103"/>
      <c r="J251" s="100"/>
      <c r="K251" s="100"/>
      <c r="L251" s="101"/>
      <c r="M251" s="102"/>
      <c r="N251" s="103"/>
      <c r="O251" s="103"/>
      <c r="P251" s="103"/>
      <c r="Q251" s="103"/>
      <c r="R251" s="103"/>
      <c r="S251" s="103"/>
      <c r="T251" s="103"/>
      <c r="U251" s="104">
        <f t="shared" si="69"/>
        <v>0</v>
      </c>
      <c r="V251" s="100"/>
      <c r="W251" s="101"/>
    </row>
    <row r="252" spans="2:23" ht="18" customHeight="1" x14ac:dyDescent="0.4">
      <c r="B252" s="102"/>
      <c r="C252" s="103"/>
      <c r="D252" s="103"/>
      <c r="E252" s="103"/>
      <c r="F252" s="103"/>
      <c r="G252" s="103"/>
      <c r="H252" s="103"/>
      <c r="I252" s="103"/>
      <c r="J252" s="100"/>
      <c r="K252" s="100"/>
      <c r="L252" s="101"/>
      <c r="M252" s="102"/>
      <c r="N252" s="103"/>
      <c r="O252" s="103"/>
      <c r="P252" s="103"/>
      <c r="Q252" s="103"/>
      <c r="R252" s="103"/>
      <c r="S252" s="103"/>
      <c r="T252" s="103"/>
      <c r="U252" s="104">
        <f t="shared" si="69"/>
        <v>0</v>
      </c>
      <c r="V252" s="100"/>
      <c r="W252" s="101"/>
    </row>
    <row r="253" spans="2:23" ht="18" customHeight="1" x14ac:dyDescent="0.4">
      <c r="B253" s="102"/>
      <c r="C253" s="103"/>
      <c r="D253" s="103"/>
      <c r="E253" s="103"/>
      <c r="F253" s="103"/>
      <c r="G253" s="103"/>
      <c r="H253" s="103"/>
      <c r="I253" s="103"/>
      <c r="J253" s="100"/>
      <c r="K253" s="100"/>
      <c r="L253" s="101"/>
      <c r="M253" s="102"/>
      <c r="N253" s="103"/>
      <c r="O253" s="103"/>
      <c r="P253" s="103"/>
      <c r="Q253" s="103"/>
      <c r="R253" s="103"/>
      <c r="S253" s="103"/>
      <c r="T253" s="103"/>
      <c r="U253" s="104">
        <f t="shared" si="69"/>
        <v>0</v>
      </c>
      <c r="V253" s="100"/>
      <c r="W253" s="101"/>
    </row>
    <row r="254" spans="2:23" ht="18" customHeight="1" x14ac:dyDescent="0.4">
      <c r="B254" s="102"/>
      <c r="C254" s="103"/>
      <c r="D254" s="103"/>
      <c r="E254" s="103"/>
      <c r="F254" s="103"/>
      <c r="G254" s="103"/>
      <c r="H254" s="103"/>
      <c r="I254" s="103"/>
      <c r="J254" s="100"/>
      <c r="K254" s="100"/>
      <c r="L254" s="101"/>
      <c r="M254" s="102"/>
      <c r="N254" s="103"/>
      <c r="O254" s="103"/>
      <c r="P254" s="103"/>
      <c r="Q254" s="103"/>
      <c r="R254" s="103"/>
      <c r="S254" s="103"/>
      <c r="T254" s="103"/>
      <c r="U254" s="104">
        <f t="shared" si="69"/>
        <v>0</v>
      </c>
      <c r="V254" s="100"/>
      <c r="W254" s="101"/>
    </row>
    <row r="255" spans="2:23" ht="18" customHeight="1" x14ac:dyDescent="0.4">
      <c r="B255" s="102"/>
      <c r="C255" s="103"/>
      <c r="D255" s="103"/>
      <c r="E255" s="103"/>
      <c r="F255" s="103"/>
      <c r="G255" s="103"/>
      <c r="H255" s="103"/>
      <c r="I255" s="103"/>
      <c r="J255" s="100"/>
      <c r="K255" s="100"/>
      <c r="L255" s="101"/>
      <c r="M255" s="102"/>
      <c r="N255" s="103"/>
      <c r="O255" s="103"/>
      <c r="P255" s="103"/>
      <c r="Q255" s="103"/>
      <c r="R255" s="103"/>
      <c r="S255" s="103"/>
      <c r="T255" s="103"/>
      <c r="U255" s="104">
        <f t="shared" si="69"/>
        <v>0</v>
      </c>
      <c r="V255" s="100"/>
      <c r="W255" s="101"/>
    </row>
    <row r="256" spans="2:23" ht="18" customHeight="1" x14ac:dyDescent="0.4">
      <c r="B256" s="109"/>
      <c r="C256" s="110"/>
      <c r="D256" s="110"/>
      <c r="E256" s="110"/>
      <c r="F256" s="110"/>
      <c r="G256" s="110"/>
      <c r="H256" s="110"/>
      <c r="I256" s="110"/>
      <c r="J256" s="107"/>
      <c r="K256" s="107"/>
      <c r="L256" s="108"/>
      <c r="M256" s="109"/>
      <c r="N256" s="110"/>
      <c r="O256" s="110"/>
      <c r="P256" s="110"/>
      <c r="Q256" s="110"/>
      <c r="R256" s="110"/>
      <c r="S256" s="110"/>
      <c r="T256" s="110"/>
      <c r="U256" s="111">
        <f t="shared" si="69"/>
        <v>0</v>
      </c>
      <c r="V256" s="107"/>
      <c r="W256" s="108"/>
    </row>
  </sheetData>
  <mergeCells count="40">
    <mergeCell ref="B247:I256"/>
    <mergeCell ref="M247:T256"/>
    <mergeCell ref="B214:I223"/>
    <mergeCell ref="M214:T223"/>
    <mergeCell ref="B225:I234"/>
    <mergeCell ref="M225:T234"/>
    <mergeCell ref="B236:I245"/>
    <mergeCell ref="M236:T245"/>
    <mergeCell ref="B181:I190"/>
    <mergeCell ref="M181:T190"/>
    <mergeCell ref="B192:I201"/>
    <mergeCell ref="M192:T201"/>
    <mergeCell ref="B203:I212"/>
    <mergeCell ref="M203:T212"/>
    <mergeCell ref="M126:T135"/>
    <mergeCell ref="M137:T146"/>
    <mergeCell ref="M148:T157"/>
    <mergeCell ref="B159:I168"/>
    <mergeCell ref="M159:T168"/>
    <mergeCell ref="B170:I179"/>
    <mergeCell ref="M170:T179"/>
    <mergeCell ref="R11:R12"/>
    <mergeCell ref="S11:T11"/>
    <mergeCell ref="H12:I12"/>
    <mergeCell ref="S12:T12"/>
    <mergeCell ref="M104:T113"/>
    <mergeCell ref="M115:T124"/>
    <mergeCell ref="B11:B12"/>
    <mergeCell ref="C11:F12"/>
    <mergeCell ref="G11:G12"/>
    <mergeCell ref="H11:I11"/>
    <mergeCell ref="M11:M12"/>
    <mergeCell ref="N11:Q12"/>
    <mergeCell ref="M2:W2"/>
    <mergeCell ref="C3:F3"/>
    <mergeCell ref="N3:Q3"/>
    <mergeCell ref="C4:F4"/>
    <mergeCell ref="N4:Q4"/>
    <mergeCell ref="B8:B9"/>
    <mergeCell ref="M8:M9"/>
  </mergeCells>
  <phoneticPr fontId="1"/>
  <pageMargins left="0.19685039370078741" right="0.19685039370078741" top="0.59055118110236227" bottom="0.19685039370078741" header="0.31496062992125984" footer="0.31496062992125984"/>
  <pageSetup paperSize="9" scale="99" orientation="portrait" r:id="rId1"/>
  <colBreaks count="1" manualBreakCount="1">
    <brk id="12" min="1" max="8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片ウィング【ホテルUB】</vt:lpstr>
      <vt:lpstr>片ウィング【単身者用】 </vt:lpstr>
      <vt:lpstr>片ウィング【事務所】  </vt:lpstr>
      <vt:lpstr>BOX（ホテル単身者）</vt:lpstr>
      <vt:lpstr>フラット (事務所)</vt:lpstr>
      <vt:lpstr>'BOX（ホテル単身者）'!Print_Area</vt:lpstr>
      <vt:lpstr>'フラット (事務所)'!Print_Area</vt:lpstr>
      <vt:lpstr>片ウィング【ホテルUB】!Print_Area</vt:lpstr>
      <vt:lpstr>'片ウィング【事務所】  '!Print_Area</vt:lpstr>
      <vt:lpstr>'片ウィング【単身者用】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健裕 千代川</dc:creator>
  <cp:lastModifiedBy>健裕 千代川</cp:lastModifiedBy>
  <dcterms:created xsi:type="dcterms:W3CDTF">2026-08-20T22:36:04Z</dcterms:created>
  <dcterms:modified xsi:type="dcterms:W3CDTF">2026-08-21T09:32:34Z</dcterms:modified>
</cp:coreProperties>
</file>